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5760" windowHeight="7755" activeTab="2"/>
  </bookViews>
  <sheets>
    <sheet name="Sheet1" sheetId="11" r:id="rId1"/>
    <sheet name="Charts" sheetId="10" r:id="rId2"/>
    <sheet name="Presidential Election Table" sheetId="1" r:id="rId3"/>
    <sheet name="Geo Political Zones" sheetId="6" r:id="rId4"/>
    <sheet name="Top 10 States" sheetId="7" r:id="rId5"/>
    <sheet name="Lowest States" sheetId="9" r:id="rId6"/>
  </sheets>
  <definedNames>
    <definedName name="_xlnm._FilterDatabase" localSheetId="2" hidden="1">'Presidential Election Table'!$B$1:$B$64</definedName>
  </definedNames>
  <calcPr calcId="144525"/>
  <pivotCaches>
    <pivotCache cacheId="1" r:id="rId7"/>
    <pivotCache cacheId="7" r:id="rId8"/>
  </pivotCaches>
  <fileRecoveryPr repairLoad="1"/>
</workbook>
</file>

<file path=xl/calcChain.xml><?xml version="1.0" encoding="utf-8"?>
<calcChain xmlns="http://schemas.openxmlformats.org/spreadsheetml/2006/main">
  <c r="G11" i="9" l="1"/>
  <c r="G10" i="9"/>
  <c r="G9" i="9"/>
  <c r="G8" i="9"/>
  <c r="G7" i="9"/>
  <c r="G6" i="9"/>
  <c r="G5" i="9"/>
  <c r="G4" i="9"/>
  <c r="G3" i="9"/>
  <c r="G2" i="9"/>
  <c r="G89" i="10"/>
  <c r="G26" i="1" l="1"/>
  <c r="G12" i="1"/>
  <c r="G9" i="1"/>
  <c r="G4" i="1"/>
  <c r="G3" i="1"/>
  <c r="G25" i="1"/>
  <c r="G23" i="1"/>
  <c r="G18" i="1"/>
  <c r="G15" i="1"/>
  <c r="G6" i="1"/>
  <c r="G1" i="1"/>
  <c r="G16" i="1"/>
  <c r="D65" i="1" l="1"/>
  <c r="E65" i="1"/>
  <c r="F65" i="1"/>
  <c r="C65" i="1"/>
  <c r="D40" i="1"/>
  <c r="E40" i="1"/>
  <c r="F40" i="1"/>
  <c r="C40" i="1"/>
  <c r="G40" i="1" s="1"/>
  <c r="C39" i="1"/>
  <c r="D39" i="1"/>
  <c r="E39" i="1"/>
  <c r="F39" i="1"/>
  <c r="I36" i="1" s="1"/>
  <c r="F4" i="6"/>
  <c r="F5" i="6"/>
  <c r="F6" i="6"/>
  <c r="F7" i="6"/>
  <c r="F8" i="6"/>
  <c r="F3" i="6"/>
  <c r="I14" i="1"/>
  <c r="I27" i="1"/>
  <c r="H3" i="1"/>
  <c r="H9" i="1"/>
  <c r="H26" i="1"/>
  <c r="H21" i="1"/>
  <c r="H36" i="1"/>
  <c r="H11" i="1"/>
  <c r="H27" i="1"/>
  <c r="H10" i="1"/>
  <c r="J28" i="6"/>
  <c r="J41" i="6"/>
  <c r="F43" i="6"/>
  <c r="F9" i="6" l="1"/>
  <c r="D61" i="1"/>
  <c r="E61" i="1"/>
  <c r="F61" i="1"/>
  <c r="D60" i="1"/>
  <c r="E60" i="1"/>
  <c r="F60" i="1"/>
  <c r="C60" i="1"/>
  <c r="C59" i="1"/>
  <c r="F59" i="1"/>
  <c r="D59" i="1"/>
  <c r="E59" i="1"/>
  <c r="C58" i="1"/>
  <c r="E32" i="6"/>
  <c r="G27" i="1" l="1"/>
  <c r="G31" i="1"/>
  <c r="G13" i="1"/>
  <c r="G11" i="1"/>
  <c r="G2" i="1"/>
  <c r="G10" i="1"/>
  <c r="G17" i="1"/>
  <c r="G32" i="1"/>
  <c r="G36" i="1"/>
  <c r="G37" i="1"/>
  <c r="G34" i="1"/>
  <c r="G21" i="1"/>
  <c r="G8" i="1"/>
  <c r="G7" i="1"/>
  <c r="G35" i="1"/>
  <c r="G19" i="1"/>
  <c r="G30" i="1"/>
  <c r="G22" i="1"/>
  <c r="G20" i="1"/>
  <c r="G28" i="1"/>
  <c r="G29" i="1"/>
  <c r="G33" i="1"/>
  <c r="G24" i="1"/>
  <c r="G14" i="1"/>
  <c r="G5" i="1"/>
  <c r="D41" i="1"/>
  <c r="E41" i="1"/>
  <c r="I5" i="1" s="1"/>
  <c r="F41" i="1"/>
  <c r="C41" i="1"/>
  <c r="E45" i="1" l="1"/>
  <c r="G39" i="1"/>
</calcChain>
</file>

<file path=xl/sharedStrings.xml><?xml version="1.0" encoding="utf-8"?>
<sst xmlns="http://schemas.openxmlformats.org/spreadsheetml/2006/main" count="324" uniqueCount="100">
  <si>
    <t>APC</t>
  </si>
  <si>
    <t>PDP</t>
  </si>
  <si>
    <t>LP</t>
  </si>
  <si>
    <t>NNPP</t>
  </si>
  <si>
    <t>STATES</t>
  </si>
  <si>
    <t>EKITI</t>
  </si>
  <si>
    <t>KWARA</t>
  </si>
  <si>
    <t>OSUN</t>
  </si>
  <si>
    <t>ONDO</t>
  </si>
  <si>
    <t>OGUN</t>
  </si>
  <si>
    <t>OYO</t>
  </si>
  <si>
    <t>YOBE</t>
  </si>
  <si>
    <t>LAGOS</t>
  </si>
  <si>
    <t>GOMBE</t>
  </si>
  <si>
    <t>ADAMAWA</t>
  </si>
  <si>
    <t>KATSINA</t>
  </si>
  <si>
    <t>JIGAWA</t>
  </si>
  <si>
    <t>NASSARAWA</t>
  </si>
  <si>
    <t>NIGER</t>
  </si>
  <si>
    <t>BENUE</t>
  </si>
  <si>
    <t>FCT</t>
  </si>
  <si>
    <t>AKWA IBOM</t>
  </si>
  <si>
    <t>EDO</t>
  </si>
  <si>
    <t>ABIA</t>
  </si>
  <si>
    <t>KOGI</t>
  </si>
  <si>
    <t>BAUCHI</t>
  </si>
  <si>
    <t>PLATEAU</t>
  </si>
  <si>
    <t>BAYELSA</t>
  </si>
  <si>
    <t>KADUNA</t>
  </si>
  <si>
    <t>KEBBI</t>
  </si>
  <si>
    <t>KANO</t>
  </si>
  <si>
    <t>ZAMFARA</t>
  </si>
  <si>
    <t>SOKOTO</t>
  </si>
  <si>
    <t>CROSS RIVER</t>
  </si>
  <si>
    <t>DELTA</t>
  </si>
  <si>
    <t>EBONYI</t>
  </si>
  <si>
    <t>ANAMBRA</t>
  </si>
  <si>
    <t>TARABA</t>
  </si>
  <si>
    <t>BORNO</t>
  </si>
  <si>
    <t>RIVERS</t>
  </si>
  <si>
    <t>IMO</t>
  </si>
  <si>
    <t>GEO POLITICAL ZONE</t>
  </si>
  <si>
    <t>ENUGU</t>
  </si>
  <si>
    <t>TOTAL VOTES FROM EACH STATE</t>
  </si>
  <si>
    <t>AGGREGATE</t>
  </si>
  <si>
    <t>SOUTH WEST</t>
  </si>
  <si>
    <t>NORTH WEST</t>
  </si>
  <si>
    <t>NORTH CENTRAL</t>
  </si>
  <si>
    <t>NORTH EAST</t>
  </si>
  <si>
    <t>SOUTH EAST</t>
  </si>
  <si>
    <t>SOUTH SOUTH</t>
  </si>
  <si>
    <t>North Central</t>
  </si>
  <si>
    <t>North West</t>
  </si>
  <si>
    <t>North East</t>
  </si>
  <si>
    <t>South South</t>
  </si>
  <si>
    <t>South East</t>
  </si>
  <si>
    <t>South West</t>
  </si>
  <si>
    <t>Geo-Political Zones Totals</t>
  </si>
  <si>
    <t xml:space="preserve">Zone </t>
  </si>
  <si>
    <t>Total Votes</t>
  </si>
  <si>
    <t>NORTH CENTRAL STATES</t>
  </si>
  <si>
    <t>VOTES</t>
  </si>
  <si>
    <t>NORTH EAST STATES</t>
  </si>
  <si>
    <t>NORTH WEST STATES</t>
  </si>
  <si>
    <t>SATES</t>
  </si>
  <si>
    <t>SOUTH EAST STATES</t>
  </si>
  <si>
    <t>SOUTH WEST STATES</t>
  </si>
  <si>
    <t>TOTAL VOTES</t>
  </si>
  <si>
    <t>PARTY</t>
  </si>
  <si>
    <t>Row Labels</t>
  </si>
  <si>
    <t>Grand Total</t>
  </si>
  <si>
    <t>Sum of APC</t>
  </si>
  <si>
    <t>Sum of PDP</t>
  </si>
  <si>
    <t>Sum of LP</t>
  </si>
  <si>
    <t>Sum of NNPP</t>
  </si>
  <si>
    <t>APC NORTH CENTRAL</t>
  </si>
  <si>
    <t>PDP NORTH CENTRAL</t>
  </si>
  <si>
    <t>LP NORTH CENTRAL</t>
  </si>
  <si>
    <t>NNPP NORTH CENTRAL</t>
  </si>
  <si>
    <t>APC NORTH EAST</t>
  </si>
  <si>
    <t>PDP NORTH EAST</t>
  </si>
  <si>
    <t>LP NORTH EAST</t>
  </si>
  <si>
    <t>NNPP NORTH EAST</t>
  </si>
  <si>
    <t xml:space="preserve">APC NORTH </t>
  </si>
  <si>
    <t>APC NORTH WEST</t>
  </si>
  <si>
    <t>PDP NORTH WEST</t>
  </si>
  <si>
    <t>LP NORTH WEST</t>
  </si>
  <si>
    <t>NNPP NORTH WEST</t>
  </si>
  <si>
    <t>ZONES</t>
  </si>
  <si>
    <t>TOTAL</t>
  </si>
  <si>
    <t>TINUBU</t>
  </si>
  <si>
    <t>ATIKU</t>
  </si>
  <si>
    <t>OBI</t>
  </si>
  <si>
    <t>KWANKWASO</t>
  </si>
  <si>
    <t>Sum of TINUBU</t>
  </si>
  <si>
    <t>Sum of ATIKU</t>
  </si>
  <si>
    <t>Sum of OBI</t>
  </si>
  <si>
    <t>Sum of KWANKWASO</t>
  </si>
  <si>
    <t>Values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</si>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</sst>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1"/>
      <color theme="1"/>
      <name val="times"/>
      <family val="2"/>
    </font>
    <font>
      <b/>
      <sz val="11"/>
      <color theme="1"/>
      <name val="times"/>
    </font>
    <font>
      <b/>
      <sz val="12"/>
      <color theme="1"/>
      <name val="times"/>
    </font>
    <font>
      <b/>
      <sz val="14"/>
      <color theme="1"/>
      <name val="times"/>
    </font>
    <font>
      <sz val="11"/>
      <color theme="1"/>
      <name val="times"/>
      <family val="2"/>
    </font>
    <font>
      <b/>
      <sz val="16"/>
      <color theme="1"/>
      <name val="times"/>
    </font>
    <font>
      <sz val="11"/>
      <color theme="1"/>
      <name val="times"/>
    </font>
    <font>
      <b/>
      <sz val="11"/>
      <color rgb="FFC00000"/>
      <name val="times"/>
    </font>
    <font>
      <sz val="11"/>
      <color theme="0"/>
      <name val="time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1"/>
        <bgColor theme="1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25">
    <xf numFmtId="0" fontId="0" fillId="0" borderId="0" xfId="0"/>
    <xf numFmtId="0" fontId="1" fillId="0" borderId="0" xfId="0" applyFont="1"/>
    <xf numFmtId="3" fontId="0" fillId="0" borderId="0" xfId="0" applyNumberFormat="1"/>
    <xf numFmtId="3" fontId="3" fillId="0" borderId="0" xfId="0" applyNumberFormat="1" applyFont="1"/>
    <xf numFmtId="0" fontId="2" fillId="0" borderId="0" xfId="0" applyFont="1"/>
    <xf numFmtId="0" fontId="3" fillId="0" borderId="0" xfId="0" applyFont="1"/>
    <xf numFmtId="0" fontId="5" fillId="0" borderId="0" xfId="0" applyFont="1"/>
    <xf numFmtId="3" fontId="1" fillId="0" borderId="0" xfId="0" applyNumberFormat="1" applyFont="1"/>
    <xf numFmtId="3" fontId="6" fillId="0" borderId="0" xfId="0" applyNumberFormat="1" applyFo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43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3" fontId="6" fillId="0" borderId="0" xfId="1" applyFont="1"/>
    <xf numFmtId="43" fontId="1" fillId="0" borderId="0" xfId="0" applyNumberFormat="1" applyFont="1"/>
    <xf numFmtId="0" fontId="7" fillId="0" borderId="0" xfId="0" applyFont="1" applyAlignment="1">
      <alignment vertical="top"/>
    </xf>
    <xf numFmtId="3" fontId="7" fillId="0" borderId="0" xfId="0" applyNumberFormat="1" applyFont="1" applyAlignment="1">
      <alignment vertical="top"/>
    </xf>
    <xf numFmtId="43" fontId="0" fillId="0" borderId="0" xfId="1" applyFont="1"/>
    <xf numFmtId="43" fontId="5" fillId="0" borderId="0" xfId="1" applyFont="1"/>
    <xf numFmtId="0" fontId="8" fillId="3" borderId="0" xfId="0" applyFont="1" applyFill="1" applyBorder="1"/>
    <xf numFmtId="0" fontId="0" fillId="4" borderId="1" xfId="0" applyFont="1" applyFill="1" applyBorder="1" applyAlignment="1">
      <alignment horizontal="left"/>
    </xf>
    <xf numFmtId="43" fontId="0" fillId="4" borderId="1" xfId="0" applyNumberFormat="1" applyFont="1" applyFill="1" applyBorder="1"/>
    <xf numFmtId="0" fontId="4" fillId="2" borderId="0" xfId="2"/>
  </cellXfs>
  <cellStyles count="3">
    <cellStyle name="40% - Accent6" xfId="2" builtinId="51"/>
    <cellStyle name="Comma" xfId="1" builtinId="3"/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"/>
        <scheme val="none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4"/>
    </mc:Choice>
    <mc:Fallback>
      <c:style val="44"/>
    </mc:Fallback>
  </mc:AlternateContent>
  <c:pivotSource>
    <c:name>[NIGERIAN 2023 PRESIDENTIAL ELECTION.xlsx]Sheet1!PivotTable1</c:name>
    <c:fmtId val="0"/>
  </c:pivotSource>
  <c:chart>
    <c:title>
      <c:layout>
        <c:manualLayout>
          <c:xMode val="edge"/>
          <c:yMode val="edge"/>
          <c:x val="0.73124999999999996"/>
          <c:y val="8.2385535141440668E-3"/>
        </c:manualLayout>
      </c:layout>
      <c:overlay val="0"/>
    </c:title>
    <c:autoTitleDeleted val="0"/>
    <c:pivotFmts>
      <c:pivotFmt>
        <c:idx val="0"/>
        <c:dLbl>
          <c:idx val="0"/>
          <c:delete val="1"/>
        </c:dLbl>
      </c:pivotFmt>
      <c:pivotFmt>
        <c:idx val="1"/>
        <c:dLbl>
          <c:idx val="0"/>
          <c:delete val="1"/>
        </c:dLbl>
      </c:pivotFmt>
      <c:pivotFmt>
        <c:idx val="2"/>
        <c:dLbl>
          <c:idx val="0"/>
          <c:delete val="1"/>
        </c:dLbl>
      </c:pivotFmt>
      <c:pivotFmt>
        <c:idx val="3"/>
        <c:dLbl>
          <c:idx val="0"/>
          <c:delete val="1"/>
        </c:dLbl>
      </c:pivotFmt>
      <c:pivotFmt>
        <c:idx val="4"/>
        <c:dLbl>
          <c:idx val="0"/>
          <c:layout>
            <c:manualLayout>
              <c:x val="2.3871252015037487E-17"/>
              <c:y val="4.6296296296296294E-3"/>
            </c:manualLayout>
          </c:layout>
          <c:tx>
            <c:rich>
              <a:bodyPr/>
              <a:lstStyle/>
              <a:p>
                <a:r>
                  <a:rPr lang="en-US" sz="1050" b="1"/>
                  <a:t>Total, 8,805,655</a:t>
                </a:r>
                <a:endParaRPr lang="en-US"/>
              </a:p>
            </c:rich>
          </c:tx>
          <c:showLegendKey val="1"/>
          <c:showVal val="1"/>
          <c:showCatName val="0"/>
          <c:showSerName val="1"/>
          <c:showPercent val="0"/>
          <c:showBubbleSize val="0"/>
        </c:dLbl>
      </c:pivotFmt>
      <c:pivotFmt>
        <c:idx val="5"/>
        <c:dLbl>
          <c:idx val="0"/>
          <c:layout>
            <c:manualLayout>
              <c:x val="0"/>
              <c:y val="1.3888888888888888E-2"/>
            </c:manualLayout>
          </c:layout>
          <c:tx>
            <c:rich>
              <a:bodyPr/>
              <a:lstStyle/>
              <a:p>
                <a:r>
                  <a:rPr lang="en-US" sz="1050" b="1"/>
                  <a:t>Total, 6,984,520</a:t>
                </a:r>
                <a:endParaRPr lang="en-US"/>
              </a:p>
            </c:rich>
          </c:tx>
          <c:showLegendKey val="1"/>
          <c:showVal val="1"/>
          <c:showCatName val="0"/>
          <c:showSerName val="1"/>
          <c:showPercent val="0"/>
          <c:showBubbleSize val="0"/>
        </c:dLbl>
      </c:pivotFmt>
      <c:pivotFmt>
        <c:idx val="6"/>
        <c:dLbl>
          <c:idx val="0"/>
          <c:layout/>
          <c:tx>
            <c:rich>
              <a:bodyPr/>
              <a:lstStyle/>
              <a:p>
                <a:r>
                  <a:rPr lang="en-US" sz="1050" b="1"/>
                  <a:t>Total, 5,821,343</a:t>
                </a:r>
                <a:endParaRPr lang="en-US"/>
              </a:p>
            </c:rich>
          </c:tx>
          <c:showLegendKey val="1"/>
          <c:showVal val="1"/>
          <c:showCatName val="0"/>
          <c:showSerName val="1"/>
          <c:showPercent val="0"/>
          <c:showBubbleSize val="0"/>
        </c:dLbl>
      </c:pivotFmt>
      <c:pivotFmt>
        <c:idx val="7"/>
        <c:dLbl>
          <c:idx val="0"/>
          <c:layout>
            <c:manualLayout>
              <c:x val="9.548500806014995E-17"/>
              <c:y val="-3.2407407407407406E-2"/>
            </c:manualLayout>
          </c:layout>
          <c:tx>
            <c:rich>
              <a:bodyPr/>
              <a:lstStyle/>
              <a:p>
                <a:r>
                  <a:rPr lang="en-US" sz="1050" b="1"/>
                  <a:t>Total, 1,495,510</a:t>
                </a:r>
                <a:endParaRPr lang="en-US"/>
              </a:p>
            </c:rich>
          </c:tx>
          <c:showLegendKey val="1"/>
          <c:showVal val="1"/>
          <c:showCatName val="0"/>
          <c:showSerName val="1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20192933891076115"/>
          <c:y val="0.17989391951006123"/>
          <c:w val="0.74338316108923885"/>
          <c:h val="0.55604950422863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3871252015037487E-17"/>
                  <c:y val="4.6296296296296294E-3"/>
                </c:manualLayout>
              </c:layout>
              <c:tx>
                <c:rich>
                  <a:bodyPr/>
                  <a:lstStyle/>
                  <a:p>
                    <a:r>
                      <a:rPr lang="en-US" sz="1050" b="1"/>
                      <a:t>Total, 8,805,655</a:t>
                    </a:r>
                    <a:endParaRPr lang="en-US"/>
                  </a:p>
                </c:rich>
              </c:tx>
              <c:showLegendKey val="1"/>
              <c:showVal val="1"/>
              <c:showCatName val="0"/>
              <c:showSerName val="1"/>
              <c:showPercent val="0"/>
              <c:showBubbleSize val="0"/>
            </c:dLbl>
            <c:dLbl>
              <c:idx val="1"/>
              <c:layout>
                <c:manualLayout>
                  <c:x val="0"/>
                  <c:y val="1.3888888888888888E-2"/>
                </c:manualLayout>
              </c:layout>
              <c:tx>
                <c:rich>
                  <a:bodyPr/>
                  <a:lstStyle/>
                  <a:p>
                    <a:r>
                      <a:rPr lang="en-US" sz="1050" b="1"/>
                      <a:t>Total, 6,984,520</a:t>
                    </a:r>
                    <a:endParaRPr lang="en-US"/>
                  </a:p>
                </c:rich>
              </c:tx>
              <c:showLegendKey val="1"/>
              <c:showVal val="1"/>
              <c:showCatName val="0"/>
              <c:showSerName val="1"/>
              <c:showPercent val="0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 sz="1050" b="1"/>
                      <a:t>Total, 5,821,343</a:t>
                    </a:r>
                    <a:endParaRPr lang="en-US"/>
                  </a:p>
                </c:rich>
              </c:tx>
              <c:showLegendKey val="1"/>
              <c:showVal val="1"/>
              <c:showCatName val="0"/>
              <c:showSerName val="1"/>
              <c:showPercent val="0"/>
              <c:showBubbleSize val="0"/>
            </c:dLbl>
            <c:dLbl>
              <c:idx val="3"/>
              <c:layout>
                <c:manualLayout>
                  <c:x val="9.548500806014995E-17"/>
                  <c:y val="-3.2407407407407406E-2"/>
                </c:manualLayout>
              </c:layout>
              <c:tx>
                <c:rich>
                  <a:bodyPr/>
                  <a:lstStyle/>
                  <a:p>
                    <a:r>
                      <a:rPr lang="en-US" sz="1050" b="1"/>
                      <a:t>Total, 1,495,510</a:t>
                    </a:r>
                    <a:endParaRPr lang="en-US"/>
                  </a:p>
                </c:rich>
              </c:tx>
              <c:showLegendKey val="1"/>
              <c:showVal val="1"/>
              <c:showCatName val="0"/>
              <c:showSerName val="1"/>
              <c:showPercent val="0"/>
              <c:showBubbleSize val="0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0"/>
            <c:showBubbleSize val="0"/>
          </c:dLbls>
          <c:cat>
            <c:strRef>
              <c:f>Sheet1!$A$7:$A$10</c:f>
              <c:strCache>
                <c:ptCount val="4"/>
                <c:pt idx="0">
                  <c:v>Sum of TINUBU</c:v>
                </c:pt>
                <c:pt idx="1">
                  <c:v>Sum of ATIKU</c:v>
                </c:pt>
                <c:pt idx="2">
                  <c:v>Sum of OBI</c:v>
                </c:pt>
                <c:pt idx="3">
                  <c:v>Sum of KWANKWASO</c:v>
                </c:pt>
              </c:strCache>
            </c:strRef>
          </c:cat>
          <c:val>
            <c:numRef>
              <c:f>Sheet1!$B$7:$B$10</c:f>
              <c:numCache>
                <c:formatCode>General</c:formatCode>
                <c:ptCount val="4"/>
                <c:pt idx="0">
                  <c:v>8805655</c:v>
                </c:pt>
                <c:pt idx="1">
                  <c:v>6984520</c:v>
                </c:pt>
                <c:pt idx="2">
                  <c:v>5821343</c:v>
                </c:pt>
                <c:pt idx="3">
                  <c:v>1495510.2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013696"/>
        <c:axId val="138289920"/>
      </c:barChart>
      <c:catAx>
        <c:axId val="138013696"/>
        <c:scaling>
          <c:orientation val="minMax"/>
        </c:scaling>
        <c:delete val="0"/>
        <c:axPos val="b"/>
        <c:majorTickMark val="none"/>
        <c:minorTickMark val="none"/>
        <c:tickLblPos val="nextTo"/>
        <c:crossAx val="138289920"/>
        <c:crosses val="autoZero"/>
        <c:auto val="1"/>
        <c:lblAlgn val="ctr"/>
        <c:lblOffset val="100"/>
        <c:noMultiLvlLbl val="0"/>
      </c:catAx>
      <c:valAx>
        <c:axId val="138289920"/>
        <c:scaling>
          <c:orientation val="minMax"/>
        </c:scaling>
        <c:delete val="1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1380136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[NIGERIAN 2023 PRESIDENTIAL ELECTION.xlsx]Charts!PivotTable2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Charts!$B$18</c:f>
              <c:strCache>
                <c:ptCount val="1"/>
                <c:pt idx="0">
                  <c:v>Sum of APC</c:v>
                </c:pt>
              </c:strCache>
            </c:strRef>
          </c:tx>
          <c:invertIfNegative val="0"/>
          <c:cat>
            <c:strRef>
              <c:f>Charts!$A$19:$A$25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Charts!$B$19:$B$25</c:f>
              <c:numCache>
                <c:formatCode>General</c:formatCode>
                <c:ptCount val="6"/>
                <c:pt idx="0">
                  <c:v>1760993</c:v>
                </c:pt>
                <c:pt idx="1">
                  <c:v>1185458</c:v>
                </c:pt>
                <c:pt idx="2">
                  <c:v>2652235</c:v>
                </c:pt>
                <c:pt idx="3">
                  <c:v>127605</c:v>
                </c:pt>
                <c:pt idx="4">
                  <c:v>799957</c:v>
                </c:pt>
                <c:pt idx="5">
                  <c:v>2279407</c:v>
                </c:pt>
              </c:numCache>
            </c:numRef>
          </c:val>
        </c:ser>
        <c:ser>
          <c:idx val="1"/>
          <c:order val="1"/>
          <c:tx>
            <c:strRef>
              <c:f>Charts!$C$18</c:f>
              <c:strCache>
                <c:ptCount val="1"/>
                <c:pt idx="0">
                  <c:v>Sum of PDP</c:v>
                </c:pt>
              </c:strCache>
            </c:strRef>
          </c:tx>
          <c:invertIfNegative val="0"/>
          <c:cat>
            <c:strRef>
              <c:f>Charts!$A$19:$A$25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Charts!$C$19:$C$25</c:f>
              <c:numCache>
                <c:formatCode>General</c:formatCode>
                <c:ptCount val="6"/>
                <c:pt idx="0">
                  <c:v>1162087</c:v>
                </c:pt>
                <c:pt idx="1">
                  <c:v>1741846</c:v>
                </c:pt>
                <c:pt idx="2">
                  <c:v>2329540</c:v>
                </c:pt>
                <c:pt idx="3">
                  <c:v>91198</c:v>
                </c:pt>
                <c:pt idx="4">
                  <c:v>717908</c:v>
                </c:pt>
                <c:pt idx="5">
                  <c:v>941941</c:v>
                </c:pt>
              </c:numCache>
            </c:numRef>
          </c:val>
        </c:ser>
        <c:ser>
          <c:idx val="2"/>
          <c:order val="2"/>
          <c:tx>
            <c:strRef>
              <c:f>Charts!$D$18</c:f>
              <c:strCache>
                <c:ptCount val="1"/>
                <c:pt idx="0">
                  <c:v>Sum of LP</c:v>
                </c:pt>
              </c:strCache>
            </c:strRef>
          </c:tx>
          <c:invertIfNegative val="0"/>
          <c:cat>
            <c:strRef>
              <c:f>Charts!$A$19:$A$25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Charts!$D$19:$D$25</c:f>
              <c:numCache>
                <c:formatCode>General</c:formatCode>
                <c:ptCount val="6"/>
                <c:pt idx="0">
                  <c:v>1138022</c:v>
                </c:pt>
                <c:pt idx="1">
                  <c:v>312701</c:v>
                </c:pt>
                <c:pt idx="2">
                  <c:v>350182</c:v>
                </c:pt>
                <c:pt idx="3">
                  <c:v>1960879</c:v>
                </c:pt>
                <c:pt idx="4">
                  <c:v>1210675</c:v>
                </c:pt>
                <c:pt idx="5">
                  <c:v>846478</c:v>
                </c:pt>
              </c:numCache>
            </c:numRef>
          </c:val>
        </c:ser>
        <c:ser>
          <c:idx val="3"/>
          <c:order val="3"/>
          <c:tx>
            <c:strRef>
              <c:f>Charts!$E$18</c:f>
              <c:strCache>
                <c:ptCount val="1"/>
                <c:pt idx="0">
                  <c:v>Sum of NNPP</c:v>
                </c:pt>
              </c:strCache>
            </c:strRef>
          </c:tx>
          <c:invertIfNegative val="0"/>
          <c:cat>
            <c:strRef>
              <c:f>Charts!$A$19:$A$25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Charts!$E$19:$E$25</c:f>
              <c:numCache>
                <c:formatCode>General</c:formatCode>
                <c:ptCount val="6"/>
                <c:pt idx="0">
                  <c:v>60057</c:v>
                </c:pt>
                <c:pt idx="1">
                  <c:v>420774</c:v>
                </c:pt>
                <c:pt idx="2">
                  <c:v>1268270</c:v>
                </c:pt>
                <c:pt idx="3">
                  <c:v>9227</c:v>
                </c:pt>
                <c:pt idx="4">
                  <c:v>17167</c:v>
                </c:pt>
                <c:pt idx="5">
                  <c:v>16644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7337088"/>
        <c:axId val="267338880"/>
      </c:barChart>
      <c:catAx>
        <c:axId val="267337088"/>
        <c:scaling>
          <c:orientation val="minMax"/>
        </c:scaling>
        <c:delete val="0"/>
        <c:axPos val="b"/>
        <c:majorTickMark val="out"/>
        <c:minorTickMark val="none"/>
        <c:tickLblPos val="nextTo"/>
        <c:crossAx val="267338880"/>
        <c:crosses val="autoZero"/>
        <c:auto val="1"/>
        <c:lblAlgn val="ctr"/>
        <c:lblOffset val="100"/>
        <c:noMultiLvlLbl val="0"/>
      </c:catAx>
      <c:valAx>
        <c:axId val="267338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7337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North</a:t>
            </a:r>
            <a:r>
              <a:rPr lang="en-US" baseline="0"/>
              <a:t> Central</a:t>
            </a:r>
            <a:endParaRPr lang="en-US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Charts!$J$18:$M$18</c:f>
              <c:strCache>
                <c:ptCount val="4"/>
                <c:pt idx="0">
                  <c:v>APC</c:v>
                </c:pt>
                <c:pt idx="1">
                  <c:v>PDP</c:v>
                </c:pt>
                <c:pt idx="2">
                  <c:v>LP</c:v>
                </c:pt>
                <c:pt idx="3">
                  <c:v>NNPP</c:v>
                </c:pt>
              </c:strCache>
            </c:strRef>
          </c:cat>
          <c:val>
            <c:numRef>
              <c:f>Charts!$J$19:$M$19</c:f>
              <c:numCache>
                <c:formatCode>#,##0</c:formatCode>
                <c:ptCount val="4"/>
                <c:pt idx="0">
                  <c:v>1760993</c:v>
                </c:pt>
                <c:pt idx="1">
                  <c:v>1162087</c:v>
                </c:pt>
                <c:pt idx="2">
                  <c:v>1138022</c:v>
                </c:pt>
                <c:pt idx="3">
                  <c:v>60057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North</a:t>
            </a:r>
            <a:r>
              <a:rPr lang="en-US" baseline="0"/>
              <a:t> East</a:t>
            </a:r>
            <a:endParaRPr lang="en-US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Charts!$A$32:$D$32</c:f>
              <c:strCache>
                <c:ptCount val="4"/>
                <c:pt idx="0">
                  <c:v>APC</c:v>
                </c:pt>
                <c:pt idx="1">
                  <c:v>PDP</c:v>
                </c:pt>
                <c:pt idx="2">
                  <c:v>LP</c:v>
                </c:pt>
                <c:pt idx="3">
                  <c:v>NNPP</c:v>
                </c:pt>
              </c:strCache>
            </c:strRef>
          </c:cat>
          <c:val>
            <c:numRef>
              <c:f>Charts!$A$33:$D$33</c:f>
              <c:numCache>
                <c:formatCode>#,##0</c:formatCode>
                <c:ptCount val="4"/>
                <c:pt idx="0">
                  <c:v>1185458</c:v>
                </c:pt>
                <c:pt idx="1">
                  <c:v>1741846</c:v>
                </c:pt>
                <c:pt idx="2">
                  <c:v>312701</c:v>
                </c:pt>
                <c:pt idx="3">
                  <c:v>420774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South-</a:t>
            </a:r>
            <a:r>
              <a:rPr lang="en-US" baseline="0"/>
              <a:t> South</a:t>
            </a:r>
            <a:endParaRPr lang="en-US"/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5030402449693787E-2"/>
          <c:y val="0.18305118110236218"/>
          <c:w val="0.77098184601924769"/>
          <c:h val="0.71248578302712162"/>
        </c:manualLayout>
      </c:layout>
      <c:pie3DChart>
        <c:varyColors val="1"/>
        <c:ser>
          <c:idx val="0"/>
          <c:order val="0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Charts!$A$47:$D$47</c:f>
              <c:strCache>
                <c:ptCount val="4"/>
                <c:pt idx="0">
                  <c:v>APC</c:v>
                </c:pt>
                <c:pt idx="1">
                  <c:v>PDP</c:v>
                </c:pt>
                <c:pt idx="2">
                  <c:v>LP</c:v>
                </c:pt>
                <c:pt idx="3">
                  <c:v>NNPP</c:v>
                </c:pt>
              </c:strCache>
            </c:strRef>
          </c:cat>
          <c:val>
            <c:numRef>
              <c:f>Charts!$A$48:$D$48</c:f>
              <c:numCache>
                <c:formatCode>#,##0</c:formatCode>
                <c:ptCount val="4"/>
                <c:pt idx="0">
                  <c:v>799957</c:v>
                </c:pt>
                <c:pt idx="1">
                  <c:v>717908</c:v>
                </c:pt>
                <c:pt idx="2">
                  <c:v>1210675</c:v>
                </c:pt>
                <c:pt idx="3">
                  <c:v>17167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LP</a:t>
            </a:r>
            <a:r>
              <a:rPr lang="en-US" baseline="0"/>
              <a:t> WON WITH 90%</a:t>
            </a:r>
            <a:endParaRPr lang="en-US"/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Charts!$A$62:$D$62</c:f>
              <c:strCache>
                <c:ptCount val="4"/>
                <c:pt idx="0">
                  <c:v>APC</c:v>
                </c:pt>
                <c:pt idx="1">
                  <c:v>PDP</c:v>
                </c:pt>
                <c:pt idx="2">
                  <c:v>LP</c:v>
                </c:pt>
                <c:pt idx="3">
                  <c:v>NNPP</c:v>
                </c:pt>
              </c:strCache>
            </c:strRef>
          </c:cat>
          <c:val>
            <c:numRef>
              <c:f>Charts!$A$63:$D$63</c:f>
              <c:numCache>
                <c:formatCode>#,##0</c:formatCode>
                <c:ptCount val="4"/>
                <c:pt idx="0">
                  <c:v>127605</c:v>
                </c:pt>
                <c:pt idx="1">
                  <c:v>91198</c:v>
                </c:pt>
                <c:pt idx="2">
                  <c:v>1960879</c:v>
                </c:pt>
                <c:pt idx="3">
                  <c:v>9227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APC</a:t>
            </a:r>
            <a:r>
              <a:rPr lang="en-US" baseline="0"/>
              <a:t> WON WITH 56%</a:t>
            </a:r>
            <a:endParaRPr lang="en-US"/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Charts!$A$74:$D$74</c:f>
              <c:strCache>
                <c:ptCount val="4"/>
                <c:pt idx="0">
                  <c:v>APC</c:v>
                </c:pt>
                <c:pt idx="1">
                  <c:v>PDP</c:v>
                </c:pt>
                <c:pt idx="2">
                  <c:v>LP</c:v>
                </c:pt>
                <c:pt idx="3">
                  <c:v>NNPP</c:v>
                </c:pt>
              </c:strCache>
            </c:strRef>
          </c:cat>
          <c:val>
            <c:numRef>
              <c:f>Charts!$A$75:$D$75</c:f>
              <c:numCache>
                <c:formatCode>General</c:formatCode>
                <c:ptCount val="4"/>
                <c:pt idx="0">
                  <c:v>2279407</c:v>
                </c:pt>
                <c:pt idx="1">
                  <c:v>941941</c:v>
                </c:pt>
                <c:pt idx="2">
                  <c:v>846478</c:v>
                </c:pt>
                <c:pt idx="3">
                  <c:v>16644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7"/>
    </mc:Choice>
    <mc:Fallback>
      <c:style val="4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NORTH WEST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Charts!$J$11:$M$11</c:f>
              <c:strCache>
                <c:ptCount val="4"/>
                <c:pt idx="0">
                  <c:v>APC</c:v>
                </c:pt>
                <c:pt idx="1">
                  <c:v>PDP</c:v>
                </c:pt>
                <c:pt idx="2">
                  <c:v>LP</c:v>
                </c:pt>
                <c:pt idx="3">
                  <c:v>NNPP</c:v>
                </c:pt>
              </c:strCache>
            </c:strRef>
          </c:cat>
          <c:val>
            <c:numRef>
              <c:f>Charts!$J$12:$M$12</c:f>
              <c:numCache>
                <c:formatCode>#,##0</c:formatCode>
                <c:ptCount val="4"/>
                <c:pt idx="0">
                  <c:v>2652235</c:v>
                </c:pt>
                <c:pt idx="1">
                  <c:v>2329540</c:v>
                </c:pt>
                <c:pt idx="2">
                  <c:v>350182</c:v>
                </c:pt>
                <c:pt idx="3">
                  <c:v>1268270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Charts!$C$88:$F$88</c:f>
              <c:strCache>
                <c:ptCount val="4"/>
                <c:pt idx="0">
                  <c:v>APC</c:v>
                </c:pt>
                <c:pt idx="1">
                  <c:v>PDP</c:v>
                </c:pt>
                <c:pt idx="2">
                  <c:v>LP</c:v>
                </c:pt>
                <c:pt idx="3">
                  <c:v>NNPP</c:v>
                </c:pt>
              </c:strCache>
            </c:strRef>
          </c:cat>
          <c:val>
            <c:numRef>
              <c:f>Charts!$C$89:$F$89</c:f>
              <c:numCache>
                <c:formatCode>#,##0</c:formatCode>
                <c:ptCount val="4"/>
                <c:pt idx="0">
                  <c:v>572606</c:v>
                </c:pt>
                <c:pt idx="1">
                  <c:v>75750</c:v>
                </c:pt>
                <c:pt idx="2">
                  <c:v>582454</c:v>
                </c:pt>
                <c:pt idx="3">
                  <c:v>8442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57645056"/>
        <c:axId val="157668480"/>
        <c:axId val="0"/>
      </c:bar3DChart>
      <c:catAx>
        <c:axId val="157645056"/>
        <c:scaling>
          <c:orientation val="minMax"/>
        </c:scaling>
        <c:delete val="0"/>
        <c:axPos val="b"/>
        <c:majorTickMark val="none"/>
        <c:minorTickMark val="none"/>
        <c:tickLblPos val="nextTo"/>
        <c:crossAx val="157668480"/>
        <c:crosses val="autoZero"/>
        <c:auto val="1"/>
        <c:lblAlgn val="ctr"/>
        <c:lblOffset val="100"/>
        <c:noMultiLvlLbl val="0"/>
      </c:catAx>
      <c:valAx>
        <c:axId val="157668480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#,##0" sourceLinked="1"/>
        <c:majorTickMark val="none"/>
        <c:minorTickMark val="none"/>
        <c:tickLblPos val="nextTo"/>
        <c:crossAx val="157645056"/>
        <c:crosses val="autoZero"/>
        <c:crossBetween val="between"/>
      </c:valAx>
      <c:dTable>
        <c:showHorzBorder val="1"/>
        <c:showVertBorder val="1"/>
        <c:showOutline val="1"/>
        <c:showKeys val="0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CANDIDATES</a:t>
            </a:r>
            <a:r>
              <a:rPr lang="en-US" baseline="0"/>
              <a:t> AND TOTAL VOTES</a:t>
            </a:r>
            <a:endParaRPr lang="en-US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  <c:spPr>
        <a:noFill/>
      </c:spPr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Charts!$I$98:$L$98</c:f>
              <c:strCache>
                <c:ptCount val="4"/>
                <c:pt idx="0">
                  <c:v>TINUBU</c:v>
                </c:pt>
                <c:pt idx="1">
                  <c:v>ATIKU</c:v>
                </c:pt>
                <c:pt idx="2">
                  <c:v>OBI</c:v>
                </c:pt>
                <c:pt idx="3">
                  <c:v>KWANKWASO</c:v>
                </c:pt>
              </c:strCache>
            </c:strRef>
          </c:cat>
          <c:val>
            <c:numRef>
              <c:f>Charts!$I$99:$L$99</c:f>
              <c:numCache>
                <c:formatCode>_(* #,##0.00_);_(* \(#,##0.00\);_(* "-"??_);_(@_)</c:formatCode>
                <c:ptCount val="4"/>
                <c:pt idx="0">
                  <c:v>8805655</c:v>
                </c:pt>
                <c:pt idx="1">
                  <c:v>6984520</c:v>
                </c:pt>
                <c:pt idx="2">
                  <c:v>5821343</c:v>
                </c:pt>
                <c:pt idx="3">
                  <c:v>1495510.2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cylinder"/>
        <c:axId val="138190208"/>
        <c:axId val="138318208"/>
        <c:axId val="0"/>
      </c:bar3DChart>
      <c:catAx>
        <c:axId val="138190208"/>
        <c:scaling>
          <c:orientation val="minMax"/>
        </c:scaling>
        <c:delete val="0"/>
        <c:axPos val="b"/>
        <c:majorTickMark val="none"/>
        <c:minorTickMark val="none"/>
        <c:tickLblPos val="nextTo"/>
        <c:crossAx val="138318208"/>
        <c:crosses val="autoZero"/>
        <c:auto val="1"/>
        <c:lblAlgn val="ctr"/>
        <c:lblOffset val="100"/>
        <c:noMultiLvlLbl val="0"/>
      </c:catAx>
      <c:valAx>
        <c:axId val="138318208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381902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4"/>
    </mc:Choice>
    <mc:Fallback>
      <c:style val="44"/>
    </mc:Fallback>
  </mc:AlternateContent>
  <c:chart>
    <c:title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419291338582679E-2"/>
          <c:y val="0.16916229221347329"/>
          <c:w val="0.70075918635170609"/>
          <c:h val="0.72637467191601046"/>
        </c:manualLayout>
      </c:layout>
      <c:pie3DChart>
        <c:varyColors val="1"/>
        <c:ser>
          <c:idx val="0"/>
          <c:order val="0"/>
          <c:tx>
            <c:strRef>
              <c:f>'Geo Political Zones'!$C$15</c:f>
              <c:strCache>
                <c:ptCount val="1"/>
                <c:pt idx="0">
                  <c:v>TOTAL VOTES</c:v>
                </c:pt>
              </c:strCache>
            </c:strRef>
          </c:tx>
          <c:explosion val="25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'Geo Political Zones'!$B$16:$B$21</c:f>
              <c:strCache>
                <c:ptCount val="6"/>
                <c:pt idx="0">
                  <c:v>North West</c:v>
                </c:pt>
                <c:pt idx="1">
                  <c:v>North Central</c:v>
                </c:pt>
                <c:pt idx="2">
                  <c:v>South West</c:v>
                </c:pt>
                <c:pt idx="3">
                  <c:v>North East</c:v>
                </c:pt>
                <c:pt idx="4">
                  <c:v>South South</c:v>
                </c:pt>
                <c:pt idx="5">
                  <c:v>South East</c:v>
                </c:pt>
              </c:strCache>
            </c:strRef>
          </c:cat>
          <c:val>
            <c:numRef>
              <c:f>'Geo Political Zones'!$C$16:$C$21</c:f>
              <c:numCache>
                <c:formatCode>_(* #,##0.00_);_(* \(#,##0.00\);_(* "-"??_);_(@_)</c:formatCode>
                <c:ptCount val="6"/>
                <c:pt idx="0">
                  <c:v>6600227</c:v>
                </c:pt>
                <c:pt idx="1">
                  <c:v>4121159</c:v>
                </c:pt>
                <c:pt idx="2">
                  <c:v>4084470</c:v>
                </c:pt>
                <c:pt idx="3">
                  <c:v>3660779</c:v>
                </c:pt>
                <c:pt idx="4">
                  <c:v>2745707</c:v>
                </c:pt>
                <c:pt idx="5">
                  <c:v>2188909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5"/>
    </mc:Choice>
    <mc:Fallback>
      <c:style val="45"/>
    </mc:Fallback>
  </mc:AlternateContent>
  <c:chart>
    <c:title>
      <c:layout/>
      <c:overlay val="0"/>
    </c:title>
    <c:autoTitleDeleted val="0"/>
    <c:view3D>
      <c:rotX val="90"/>
      <c:rotY val="60"/>
      <c:rAngAx val="1"/>
    </c:view3D>
    <c:floor>
      <c:thickness val="0"/>
    </c:floor>
    <c:sideWall>
      <c:thickness val="0"/>
      <c:spPr>
        <a:noFill/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'Top 10 States'!$D$19</c:f>
              <c:strCache>
                <c:ptCount val="1"/>
                <c:pt idx="0">
                  <c:v>TOTAL VOTES</c:v>
                </c:pt>
              </c:strCache>
            </c:strRef>
          </c:tx>
          <c:invertIfNegative val="0"/>
          <c:cat>
            <c:strRef>
              <c:f>'Top 10 States'!$C$20:$C$29</c:f>
              <c:strCache>
                <c:ptCount val="10"/>
                <c:pt idx="0">
                  <c:v>KANO</c:v>
                </c:pt>
                <c:pt idx="1">
                  <c:v>KADUNA</c:v>
                </c:pt>
                <c:pt idx="2">
                  <c:v>LAGOS</c:v>
                </c:pt>
                <c:pt idx="3">
                  <c:v>KATSINA</c:v>
                </c:pt>
                <c:pt idx="4">
                  <c:v>PLATEAU</c:v>
                </c:pt>
                <c:pt idx="5">
                  <c:v>JIGAWA</c:v>
                </c:pt>
                <c:pt idx="6">
                  <c:v>BAUCHI</c:v>
                </c:pt>
                <c:pt idx="7">
                  <c:v>NIGER</c:v>
                </c:pt>
                <c:pt idx="8">
                  <c:v>OYO</c:v>
                </c:pt>
                <c:pt idx="9">
                  <c:v>OSUN</c:v>
                </c:pt>
              </c:strCache>
            </c:strRef>
          </c:cat>
          <c:val>
            <c:numRef>
              <c:f>'Top 10 States'!$D$20:$D$29</c:f>
              <c:numCache>
                <c:formatCode>#,##0</c:formatCode>
                <c:ptCount val="10"/>
                <c:pt idx="0">
                  <c:v>1674869</c:v>
                </c:pt>
                <c:pt idx="1">
                  <c:v>1341116</c:v>
                </c:pt>
                <c:pt idx="2">
                  <c:v>1239252</c:v>
                </c:pt>
                <c:pt idx="3">
                  <c:v>1047090</c:v>
                </c:pt>
                <c:pt idx="4">
                  <c:v>1026144</c:v>
                </c:pt>
                <c:pt idx="5">
                  <c:v>908100</c:v>
                </c:pt>
                <c:pt idx="6">
                  <c:v>842777</c:v>
                </c:pt>
                <c:pt idx="7">
                  <c:v>762369</c:v>
                </c:pt>
                <c:pt idx="8">
                  <c:v>736066</c:v>
                </c:pt>
                <c:pt idx="9">
                  <c:v>722307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37300224"/>
        <c:axId val="138320128"/>
        <c:axId val="0"/>
      </c:bar3DChart>
      <c:catAx>
        <c:axId val="137300224"/>
        <c:scaling>
          <c:orientation val="minMax"/>
        </c:scaling>
        <c:delete val="0"/>
        <c:axPos val="b"/>
        <c:majorTickMark val="none"/>
        <c:minorTickMark val="none"/>
        <c:tickLblPos val="nextTo"/>
        <c:crossAx val="138320128"/>
        <c:crosses val="autoZero"/>
        <c:auto val="1"/>
        <c:lblAlgn val="ctr"/>
        <c:lblOffset val="100"/>
        <c:noMultiLvlLbl val="0"/>
      </c:catAx>
      <c:valAx>
        <c:axId val="138320128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#,##0" sourceLinked="1"/>
        <c:majorTickMark val="none"/>
        <c:minorTickMark val="none"/>
        <c:tickLblPos val="nextTo"/>
        <c:crossAx val="137300224"/>
        <c:crosses val="autoZero"/>
        <c:crossBetween val="between"/>
      </c:valAx>
      <c:spPr>
        <a:ln w="25400">
          <a:noFill/>
        </a:ln>
      </c:spPr>
    </c:plotArea>
    <c:plotVisOnly val="1"/>
    <c:dispBlanksAs val="gap"/>
    <c:showDLblsOverMax val="0"/>
  </c:chart>
  <c:spPr>
    <a:effectLst>
      <a:outerShdw blurRad="1028700" dist="2540000" dir="12360000" algn="ctr" rotWithShape="0">
        <a:srgbClr val="C00000">
          <a:alpha val="21000"/>
        </a:srgbClr>
      </a:outerShdw>
    </a:effectLst>
    <a:scene3d>
      <a:camera prst="orthographicFront"/>
      <a:lightRig rig="threePt" dir="t"/>
    </a:scene3d>
    <a:sp3d prstMaterial="dkEdge">
      <a:bevelT w="184150"/>
      <a:bevelB w="165100" prst="hardEdge"/>
    </a:sp3d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 title="TOTAL VOT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190499</xdr:rowOff>
    </xdr:from>
    <xdr:to>
      <xdr:col>4</xdr:col>
      <xdr:colOff>904874</xdr:colOff>
      <xdr:row>16</xdr:row>
      <xdr:rowOff>9524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276225</xdr:colOff>
      <xdr:row>15</xdr:row>
      <xdr:rowOff>38100</xdr:rowOff>
    </xdr:from>
    <xdr:to>
      <xdr:col>11</xdr:col>
      <xdr:colOff>47625</xdr:colOff>
      <xdr:row>28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123825</xdr:colOff>
      <xdr:row>30</xdr:row>
      <xdr:rowOff>57149</xdr:rowOff>
    </xdr:from>
    <xdr:to>
      <xdr:col>11</xdr:col>
      <xdr:colOff>28575</xdr:colOff>
      <xdr:row>42</xdr:row>
      <xdr:rowOff>114299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104775</xdr:colOff>
      <xdr:row>45</xdr:row>
      <xdr:rowOff>66675</xdr:rowOff>
    </xdr:from>
    <xdr:to>
      <xdr:col>11</xdr:col>
      <xdr:colOff>504825</xdr:colOff>
      <xdr:row>58</xdr:row>
      <xdr:rowOff>9525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171450</xdr:colOff>
      <xdr:row>58</xdr:row>
      <xdr:rowOff>114299</xdr:rowOff>
    </xdr:from>
    <xdr:to>
      <xdr:col>11</xdr:col>
      <xdr:colOff>228600</xdr:colOff>
      <xdr:row>68</xdr:row>
      <xdr:rowOff>161924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190500</xdr:colOff>
      <xdr:row>72</xdr:row>
      <xdr:rowOff>123825</xdr:rowOff>
    </xdr:from>
    <xdr:to>
      <xdr:col>10</xdr:col>
      <xdr:colOff>628650</xdr:colOff>
      <xdr:row>85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85724</xdr:colOff>
      <xdr:row>2</xdr:row>
      <xdr:rowOff>152400</xdr:rowOff>
    </xdr:from>
    <xdr:to>
      <xdr:col>11</xdr:col>
      <xdr:colOff>95249</xdr:colOff>
      <xdr:row>14</xdr:row>
      <xdr:rowOff>66675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457200</xdr:colOff>
      <xdr:row>90</xdr:row>
      <xdr:rowOff>133350</xdr:rowOff>
    </xdr:from>
    <xdr:to>
      <xdr:col>5</xdr:col>
      <xdr:colOff>76200</xdr:colOff>
      <xdr:row>97</xdr:row>
      <xdr:rowOff>76200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638175</xdr:colOff>
      <xdr:row>93</xdr:row>
      <xdr:rowOff>95250</xdr:rowOff>
    </xdr:from>
    <xdr:to>
      <xdr:col>11</xdr:col>
      <xdr:colOff>457200</xdr:colOff>
      <xdr:row>107</xdr:row>
      <xdr:rowOff>171450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12</xdr:row>
      <xdr:rowOff>57149</xdr:rowOff>
    </xdr:from>
    <xdr:to>
      <xdr:col>7</xdr:col>
      <xdr:colOff>800100</xdr:colOff>
      <xdr:row>23</xdr:row>
      <xdr:rowOff>114299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15</xdr:row>
      <xdr:rowOff>28575</xdr:rowOff>
    </xdr:from>
    <xdr:to>
      <xdr:col>10</xdr:col>
      <xdr:colOff>876300</xdr:colOff>
      <xdr:row>29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romidayo" refreshedDate="45509.347352662036" createdVersion="4" refreshedVersion="4" minRefreshableVersion="3" recordCount="6">
  <cacheSource type="worksheet">
    <worksheetSource ref="A2:E8" sheet="Geo Political Zones"/>
  </cacheSource>
  <cacheFields count="5">
    <cacheField name="Zone " numFmtId="0">
      <sharedItems count="6">
        <s v="North West"/>
        <s v="North Central"/>
        <s v="South West"/>
        <s v="North East"/>
        <s v="South South"/>
        <s v="South East"/>
      </sharedItems>
    </cacheField>
    <cacheField name="APC" numFmtId="3">
      <sharedItems containsSemiMixedTypes="0" containsString="0" containsNumber="1" containsInteger="1" minValue="127605" maxValue="2652235"/>
    </cacheField>
    <cacheField name="PDP" numFmtId="3">
      <sharedItems containsSemiMixedTypes="0" containsString="0" containsNumber="1" containsInteger="1" minValue="91198" maxValue="2329540"/>
    </cacheField>
    <cacheField name="LP" numFmtId="3">
      <sharedItems containsSemiMixedTypes="0" containsString="0" containsNumber="1" containsInteger="1" minValue="312701" maxValue="1960879"/>
    </cacheField>
    <cacheField name="NNPP" numFmtId="3">
      <sharedItems containsSemiMixedTypes="0" containsString="0" containsNumber="1" containsInteger="1" minValue="9227" maxValue="12682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Oromidayo" refreshedDate="45510.412736226855" createdVersion="4" refreshedVersion="4" minRefreshableVersion="3" recordCount="1">
  <cacheSource type="worksheet">
    <worksheetSource ref="I98:L99" sheet="Charts"/>
  </cacheSource>
  <cacheFields count="4">
    <cacheField name="TINUBU" numFmtId="43">
      <sharedItems containsSemiMixedTypes="0" containsString="0" containsNumber="1" containsInteger="1" minValue="8805655" maxValue="8805655" count="1">
        <n v="8805655"/>
      </sharedItems>
    </cacheField>
    <cacheField name="ATIKU" numFmtId="43">
      <sharedItems containsSemiMixedTypes="0" containsString="0" containsNumber="1" containsInteger="1" minValue="6984520" maxValue="6984520" count="1">
        <n v="6984520"/>
      </sharedItems>
    </cacheField>
    <cacheField name="OBI" numFmtId="43">
      <sharedItems containsSemiMixedTypes="0" containsString="0" containsNumber="1" containsInteger="1" minValue="5821343" maxValue="5821343" count="1">
        <n v="5821343"/>
      </sharedItems>
    </cacheField>
    <cacheField name="KWANKWASO" numFmtId="43">
      <sharedItems containsSemiMixedTypes="0" containsString="0" containsNumber="1" minValue="1495510.2" maxValue="1495510.2" count="1">
        <n v="1495510.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n v="2652235"/>
    <n v="2329540"/>
    <n v="350182"/>
    <n v="1268270"/>
  </r>
  <r>
    <x v="1"/>
    <n v="1760993"/>
    <n v="1162087"/>
    <n v="1138022"/>
    <n v="60057"/>
  </r>
  <r>
    <x v="2"/>
    <n v="2279407"/>
    <n v="941941"/>
    <n v="846478"/>
    <n v="16644"/>
  </r>
  <r>
    <x v="3"/>
    <n v="1185458"/>
    <n v="1741846"/>
    <n v="312701"/>
    <n v="420774"/>
  </r>
  <r>
    <x v="4"/>
    <n v="799957"/>
    <n v="717908"/>
    <n v="1210675"/>
    <n v="17167"/>
  </r>
  <r>
    <x v="5"/>
    <n v="127605"/>
    <n v="91198"/>
    <n v="1960879"/>
    <n v="92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6:B10" firstHeaderRow="1" firstDataRow="1" firstDataCol="1"/>
  <pivotFields count="4">
    <pivotField dataField="1" numFmtId="43" showAll="0">
      <items count="2">
        <item x="0"/>
        <item t="default"/>
      </items>
    </pivotField>
    <pivotField dataField="1" numFmtId="43" showAll="0">
      <items count="2">
        <item x="0"/>
        <item t="default"/>
      </items>
    </pivotField>
    <pivotField dataField="1" numFmtId="43" showAll="0">
      <items count="2">
        <item x="0"/>
        <item t="default"/>
      </items>
    </pivotField>
    <pivotField dataField="1" numFmtId="43" showAll="0">
      <items count="2">
        <item x="0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Sum of TINUBU" fld="0" baseField="0" baseItem="0"/>
    <dataField name="Sum of ATIKU" fld="1" baseField="0" baseItem="0"/>
    <dataField name="Sum of OBI" fld="2" baseField="0" baseItem="0"/>
    <dataField name="Sum of KWANKWASO" fld="3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7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18:E25" firstHeaderRow="0" firstDataRow="1" firstDataCol="1"/>
  <pivotFields count="5">
    <pivotField axis="axisRow" showAll="0">
      <items count="7">
        <item x="1"/>
        <item x="3"/>
        <item x="0"/>
        <item x="5"/>
        <item x="4"/>
        <item x="2"/>
        <item t="default"/>
      </items>
    </pivotField>
    <pivotField dataField="1" numFmtId="3" showAll="0"/>
    <pivotField dataField="1" numFmtId="3" showAll="0"/>
    <pivotField dataField="1" numFmtId="3" showAll="0"/>
    <pivotField dataField="1" numFmtId="3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PC" fld="1" baseField="0" baseItem="0"/>
    <dataField name="Sum of PDP" fld="2" baseField="0" baseItem="0"/>
    <dataField name="Sum of LP" fld="3" baseField="0" baseItem="0"/>
    <dataField name="Sum of NNPP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5" name="Table36" displayName="Table36" ref="N23:O30" totalsRowShown="0" headerRowDxfId="21">
  <autoFilter ref="N23:O30"/>
  <tableColumns count="2">
    <tableColumn id="1" name="STATES"/>
    <tableColumn id="2" name="VOTES" dataDxfId="20"/>
  </tableColumns>
  <tableStyleInfo name="TableStyleDark3" showFirstColumn="0" showLastColumn="0" showRowStripes="1" showColumnStripes="0"/>
</table>
</file>

<file path=xl/tables/table2.xml><?xml version="1.0" encoding="utf-8"?>
<table xmlns="http://schemas.openxmlformats.org/spreadsheetml/2006/main" id="7" name="Table7" displayName="Table7" ref="I21:J28" totalsRowCount="1" headerRowDxfId="19">
  <autoFilter ref="I21:J27"/>
  <tableColumns count="2">
    <tableColumn id="1" name="STATES"/>
    <tableColumn id="2" name="VOTES" totalsRowFunction="custom" dataDxfId="18" totalsRowDxfId="17">
      <totalsRowFormula>SUM(Table7[VOTES])</totalsRowFormula>
    </tableColumn>
  </tableColumns>
  <tableStyleInfo name="TableStyleDark3" showFirstColumn="0" showLastColumn="0" showRowStripes="1" showColumnStripes="0"/>
</table>
</file>

<file path=xl/tables/table3.xml><?xml version="1.0" encoding="utf-8"?>
<table xmlns="http://schemas.openxmlformats.org/spreadsheetml/2006/main" id="8" name="Table8" displayName="Table8" ref="D24:E32" totalsRowCount="1" headerRowDxfId="16">
  <autoFilter ref="D24:E31"/>
  <tableColumns count="2">
    <tableColumn id="1" name="SATES"/>
    <tableColumn id="2" name="VOTES" totalsRowFunction="custom" dataDxfId="15" totalsRowDxfId="14">
      <totalsRowFormula>SUM(Table8[VOTES])</totalsRowFormula>
    </tableColumn>
  </tableColumns>
  <tableStyleInfo name="TableStyleDark3" showFirstColumn="0" showLastColumn="0" showRowStripes="1" showColumnStripes="0"/>
</table>
</file>

<file path=xl/tables/table4.xml><?xml version="1.0" encoding="utf-8"?>
<table xmlns="http://schemas.openxmlformats.org/spreadsheetml/2006/main" id="9" name="Table9" displayName="Table9" ref="I35:J41" totalsRowCount="1" headerRowDxfId="13">
  <autoFilter ref="I35:J40"/>
  <tableColumns count="2">
    <tableColumn id="1" name="STATES"/>
    <tableColumn id="2" name="VOTES" totalsRowFunction="custom" dataDxfId="12" totalsRowDxfId="11">
      <totalsRowFormula>SUM(Table9[VOTES])</totalsRowFormula>
    </tableColumn>
  </tableColumns>
  <tableStyleInfo name="TableStyleDark3" showFirstColumn="0" showLastColumn="0" showRowStripes="1" showColumnStripes="0"/>
</table>
</file>

<file path=xl/tables/table5.xml><?xml version="1.0" encoding="utf-8"?>
<table xmlns="http://schemas.openxmlformats.org/spreadsheetml/2006/main" id="10" name="Table10" displayName="Table10" ref="N35:O41" totalsRowShown="0" headerRowDxfId="10">
  <autoFilter ref="N35:O41"/>
  <tableColumns count="2">
    <tableColumn id="1" name="STATES"/>
    <tableColumn id="2" name="VOTES" dataDxfId="9"/>
  </tableColumns>
  <tableStyleInfo name="TableStyleDark3" showFirstColumn="0" showLastColumn="0" showRowStripes="1" showColumnStripes="0"/>
</table>
</file>

<file path=xl/tables/table6.xml><?xml version="1.0" encoding="utf-8"?>
<table xmlns="http://schemas.openxmlformats.org/spreadsheetml/2006/main" id="11" name="Table11" displayName="Table11" ref="E36:F43" totalsRowCount="1" headerRowDxfId="8">
  <autoFilter ref="E36:F42"/>
  <tableColumns count="2">
    <tableColumn id="1" name="SATES"/>
    <tableColumn id="2" name="VOTES" totalsRowFunction="custom" dataDxfId="7" totalsRowDxfId="6">
      <totalsRowFormula>SUM(Table11[VOTES])</totalsRowFormula>
    </tableColumn>
  </tableColumns>
  <tableStyleInfo name="TableStyleDark3" showFirstColumn="0" showLastColumn="0" showRowStripes="1" showColumnStripes="0"/>
</table>
</file>

<file path=xl/tables/table7.xml><?xml version="1.0" encoding="utf-8"?>
<table xmlns="http://schemas.openxmlformats.org/spreadsheetml/2006/main" id="3" name="Table3" displayName="Table3" ref="K15:M25" totalsRowShown="0" headerRowDxfId="0">
  <autoFilter ref="K15:M25"/>
  <tableColumns count="3">
    <tableColumn id="1" name="STATES"/>
    <tableColumn id="2" name="ZONE"/>
    <tableColumn id="3" name="TOTAL" dataDxfId="1" dataCellStyle="Comma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10"/>
  <sheetViews>
    <sheetView workbookViewId="0">
      <selection activeCell="E18" sqref="E7:I18"/>
    </sheetView>
  </sheetViews>
  <sheetFormatPr defaultRowHeight="15" x14ac:dyDescent="0.25"/>
  <cols>
    <col min="1" max="1" width="22.5703125" customWidth="1"/>
    <col min="2" max="2" width="10" customWidth="1"/>
    <col min="3" max="3" width="12" customWidth="1"/>
    <col min="4" max="4" width="23.28515625" customWidth="1"/>
    <col min="5" max="5" width="13.7109375" bestFit="1" customWidth="1"/>
  </cols>
  <sheetData>
    <row r="6" spans="1:2" x14ac:dyDescent="0.25">
      <c r="A6" s="9" t="s">
        <v>98</v>
      </c>
    </row>
    <row r="7" spans="1:2" x14ac:dyDescent="0.25">
      <c r="A7" s="11" t="s">
        <v>94</v>
      </c>
      <c r="B7" s="10">
        <v>8805655</v>
      </c>
    </row>
    <row r="8" spans="1:2" x14ac:dyDescent="0.25">
      <c r="A8" s="11" t="s">
        <v>95</v>
      </c>
      <c r="B8" s="10">
        <v>6984520</v>
      </c>
    </row>
    <row r="9" spans="1:2" x14ac:dyDescent="0.25">
      <c r="A9" s="11" t="s">
        <v>96</v>
      </c>
      <c r="B9" s="10">
        <v>5821343</v>
      </c>
    </row>
    <row r="10" spans="1:2" x14ac:dyDescent="0.25">
      <c r="A10" s="11" t="s">
        <v>97</v>
      </c>
      <c r="B10" s="10">
        <v>1495510.2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N99"/>
  <sheetViews>
    <sheetView topLeftCell="B1" workbookViewId="0">
      <selection activeCell="F102" sqref="F102"/>
    </sheetView>
  </sheetViews>
  <sheetFormatPr defaultRowHeight="15" x14ac:dyDescent="0.25"/>
  <cols>
    <col min="1" max="1" width="19.140625" customWidth="1"/>
    <col min="2" max="2" width="15.42578125" customWidth="1"/>
    <col min="3" max="3" width="12.28515625" customWidth="1"/>
    <col min="4" max="4" width="13.85546875" customWidth="1"/>
    <col min="5" max="5" width="14.140625" customWidth="1"/>
    <col min="6" max="6" width="15.28515625" customWidth="1"/>
    <col min="7" max="7" width="13.42578125" customWidth="1"/>
    <col min="8" max="8" width="11.7109375" customWidth="1"/>
    <col min="9" max="9" width="14.28515625" customWidth="1"/>
    <col min="10" max="10" width="16.5703125" customWidth="1"/>
    <col min="11" max="11" width="15.28515625" customWidth="1"/>
    <col min="12" max="12" width="16.28515625" customWidth="1"/>
    <col min="13" max="13" width="13.7109375" customWidth="1"/>
    <col min="14" max="29" width="5.5703125" customWidth="1"/>
    <col min="30" max="32" width="6.7109375" customWidth="1"/>
    <col min="33" max="33" width="9" customWidth="1"/>
    <col min="34" max="40" width="6.7109375" customWidth="1"/>
    <col min="41" max="41" width="7.85546875" customWidth="1"/>
    <col min="42" max="45" width="11.28515625" customWidth="1"/>
    <col min="46" max="46" width="7.5703125" customWidth="1"/>
    <col min="47" max="47" width="12.140625" customWidth="1"/>
    <col min="48" max="141" width="23.7109375" customWidth="1"/>
    <col min="142" max="142" width="19.7109375" customWidth="1"/>
    <col min="143" max="143" width="19.42578125" customWidth="1"/>
    <col min="144" max="144" width="21" customWidth="1"/>
    <col min="145" max="146" width="14.140625" customWidth="1"/>
    <col min="147" max="147" width="21.85546875" bestFit="1" customWidth="1"/>
    <col min="148" max="148" width="21.5703125" customWidth="1"/>
    <col min="149" max="150" width="14.140625" customWidth="1"/>
    <col min="151" max="151" width="21.85546875" customWidth="1"/>
    <col min="152" max="152" width="21.5703125" customWidth="1"/>
    <col min="153" max="154" width="14.140625" customWidth="1"/>
    <col min="155" max="155" width="23" customWidth="1"/>
    <col min="156" max="156" width="22.7109375" customWidth="1"/>
    <col min="157" max="158" width="14.140625" customWidth="1"/>
    <col min="159" max="159" width="23" customWidth="1"/>
    <col min="160" max="160" width="22.7109375" customWidth="1"/>
    <col min="161" max="162" width="14.140625" customWidth="1"/>
    <col min="163" max="163" width="23" customWidth="1"/>
    <col min="164" max="164" width="22.7109375" customWidth="1"/>
    <col min="165" max="166" width="14.140625" customWidth="1"/>
    <col min="167" max="167" width="23" customWidth="1"/>
    <col min="168" max="168" width="22.7109375" customWidth="1"/>
    <col min="169" max="170" width="14.140625" customWidth="1"/>
    <col min="171" max="171" width="23" customWidth="1"/>
    <col min="172" max="172" width="22.7109375" customWidth="1"/>
    <col min="173" max="174" width="14.140625" customWidth="1"/>
    <col min="175" max="175" width="23" customWidth="1"/>
    <col min="176" max="176" width="22.7109375" customWidth="1"/>
    <col min="177" max="178" width="14.42578125" customWidth="1"/>
    <col min="179" max="179" width="26" bestFit="1" customWidth="1"/>
    <col min="180" max="180" width="25.7109375" customWidth="1"/>
    <col min="181" max="182" width="18.42578125" customWidth="1"/>
    <col min="183" max="183" width="30.5703125" bestFit="1" customWidth="1"/>
    <col min="184" max="184" width="30.28515625" customWidth="1"/>
    <col min="185" max="185" width="14.140625" customWidth="1"/>
    <col min="186" max="186" width="14.140625" bestFit="1" customWidth="1"/>
    <col min="187" max="187" width="21.5703125" customWidth="1"/>
    <col min="188" max="188" width="21.140625" bestFit="1" customWidth="1"/>
    <col min="189" max="189" width="19.7109375" bestFit="1" customWidth="1"/>
    <col min="190" max="190" width="19.42578125" customWidth="1"/>
    <col min="191" max="191" width="12.140625" bestFit="1" customWidth="1"/>
  </cols>
  <sheetData>
    <row r="11" spans="10:13" ht="20.25" x14ac:dyDescent="0.3">
      <c r="J11" s="6" t="s">
        <v>0</v>
      </c>
      <c r="K11" s="6" t="s">
        <v>1</v>
      </c>
      <c r="L11" s="6" t="s">
        <v>2</v>
      </c>
      <c r="M11" s="6" t="s">
        <v>3</v>
      </c>
    </row>
    <row r="12" spans="10:13" x14ac:dyDescent="0.25">
      <c r="J12" s="2">
        <v>2652235</v>
      </c>
      <c r="K12" s="2">
        <v>2329540</v>
      </c>
      <c r="L12" s="2">
        <v>350182</v>
      </c>
      <c r="M12" s="2">
        <v>1268270</v>
      </c>
    </row>
    <row r="18" spans="1:14" x14ac:dyDescent="0.25">
      <c r="A18" s="9" t="s">
        <v>69</v>
      </c>
      <c r="B18" t="s">
        <v>71</v>
      </c>
      <c r="C18" t="s">
        <v>72</v>
      </c>
      <c r="D18" t="s">
        <v>73</v>
      </c>
      <c r="E18" t="s">
        <v>74</v>
      </c>
      <c r="J18" t="s">
        <v>0</v>
      </c>
      <c r="K18" t="s">
        <v>1</v>
      </c>
      <c r="L18" t="s">
        <v>2</v>
      </c>
      <c r="M18" t="s">
        <v>3</v>
      </c>
    </row>
    <row r="19" spans="1:14" x14ac:dyDescent="0.25">
      <c r="A19" s="11" t="s">
        <v>51</v>
      </c>
      <c r="B19" s="10">
        <v>1760993</v>
      </c>
      <c r="C19" s="10">
        <v>1162087</v>
      </c>
      <c r="D19" s="10">
        <v>1138022</v>
      </c>
      <c r="E19" s="10">
        <v>60057</v>
      </c>
      <c r="J19" s="2">
        <v>1760993</v>
      </c>
      <c r="K19" s="2">
        <v>1162087</v>
      </c>
      <c r="L19" s="2">
        <v>1138022</v>
      </c>
      <c r="M19" s="2">
        <v>60057</v>
      </c>
      <c r="N19" s="15"/>
    </row>
    <row r="20" spans="1:14" x14ac:dyDescent="0.25">
      <c r="A20" s="11" t="s">
        <v>53</v>
      </c>
      <c r="B20" s="10">
        <v>1185458</v>
      </c>
      <c r="C20" s="10">
        <v>1741846</v>
      </c>
      <c r="D20" s="10">
        <v>312701</v>
      </c>
      <c r="E20" s="10">
        <v>420774</v>
      </c>
    </row>
    <row r="21" spans="1:14" x14ac:dyDescent="0.25">
      <c r="A21" s="11" t="s">
        <v>52</v>
      </c>
      <c r="B21" s="10">
        <v>2652235</v>
      </c>
      <c r="C21" s="10">
        <v>2329540</v>
      </c>
      <c r="D21" s="10">
        <v>350182</v>
      </c>
      <c r="E21" s="10">
        <v>1268270</v>
      </c>
    </row>
    <row r="22" spans="1:14" x14ac:dyDescent="0.25">
      <c r="A22" s="11" t="s">
        <v>55</v>
      </c>
      <c r="B22" s="10">
        <v>127605</v>
      </c>
      <c r="C22" s="10">
        <v>91198</v>
      </c>
      <c r="D22" s="10">
        <v>1960879</v>
      </c>
      <c r="E22" s="10">
        <v>9227</v>
      </c>
    </row>
    <row r="23" spans="1:14" x14ac:dyDescent="0.25">
      <c r="A23" s="11" t="s">
        <v>54</v>
      </c>
      <c r="B23" s="10">
        <v>799957</v>
      </c>
      <c r="C23" s="10">
        <v>717908</v>
      </c>
      <c r="D23" s="10">
        <v>1210675</v>
      </c>
      <c r="E23" s="10">
        <v>17167</v>
      </c>
    </row>
    <row r="24" spans="1:14" x14ac:dyDescent="0.25">
      <c r="A24" s="11" t="s">
        <v>56</v>
      </c>
      <c r="B24" s="10">
        <v>2279407</v>
      </c>
      <c r="C24" s="10">
        <v>941941</v>
      </c>
      <c r="D24" s="10">
        <v>846478</v>
      </c>
      <c r="E24" s="10">
        <v>16644</v>
      </c>
    </row>
    <row r="25" spans="1:14" x14ac:dyDescent="0.25">
      <c r="A25" s="11" t="s">
        <v>70</v>
      </c>
      <c r="B25" s="10">
        <v>8805655</v>
      </c>
      <c r="C25" s="10">
        <v>6984520</v>
      </c>
      <c r="D25" s="10">
        <v>5818937</v>
      </c>
      <c r="E25" s="10">
        <v>1792139</v>
      </c>
    </row>
    <row r="32" spans="1:14" ht="18.75" x14ac:dyDescent="0.3">
      <c r="A32" s="5" t="s">
        <v>0</v>
      </c>
      <c r="B32" s="5" t="s">
        <v>1</v>
      </c>
      <c r="C32" s="5" t="s">
        <v>2</v>
      </c>
      <c r="D32" s="5" t="s">
        <v>3</v>
      </c>
    </row>
    <row r="33" spans="1:4" x14ac:dyDescent="0.25">
      <c r="A33" s="2">
        <v>1185458</v>
      </c>
      <c r="B33" s="2">
        <v>1741846</v>
      </c>
      <c r="C33" s="2">
        <v>312701</v>
      </c>
      <c r="D33" s="2">
        <v>420774</v>
      </c>
    </row>
    <row r="47" spans="1:4" x14ac:dyDescent="0.25">
      <c r="A47" s="1" t="s">
        <v>0</v>
      </c>
      <c r="B47" s="1" t="s">
        <v>1</v>
      </c>
      <c r="C47" s="1" t="s">
        <v>2</v>
      </c>
      <c r="D47" s="1" t="s">
        <v>3</v>
      </c>
    </row>
    <row r="48" spans="1:4" x14ac:dyDescent="0.25">
      <c r="A48" s="2">
        <v>799957</v>
      </c>
      <c r="B48" s="2">
        <v>717908</v>
      </c>
      <c r="C48" s="2">
        <v>1210675</v>
      </c>
      <c r="D48" s="2">
        <v>17167</v>
      </c>
    </row>
    <row r="62" spans="1:4" x14ac:dyDescent="0.25">
      <c r="A62" t="s">
        <v>0</v>
      </c>
      <c r="B62" t="s">
        <v>1</v>
      </c>
      <c r="C62" t="s">
        <v>2</v>
      </c>
      <c r="D62" t="s">
        <v>3</v>
      </c>
    </row>
    <row r="63" spans="1:4" x14ac:dyDescent="0.25">
      <c r="A63" s="2">
        <v>127605</v>
      </c>
      <c r="B63" s="2">
        <v>91198</v>
      </c>
      <c r="C63" s="2">
        <v>1960879</v>
      </c>
      <c r="D63" s="2">
        <v>9227</v>
      </c>
    </row>
    <row r="74" spans="1:4" x14ac:dyDescent="0.25">
      <c r="A74" t="s">
        <v>0</v>
      </c>
      <c r="B74" t="s">
        <v>1</v>
      </c>
      <c r="C74" t="s">
        <v>2</v>
      </c>
      <c r="D74" t="s">
        <v>3</v>
      </c>
    </row>
    <row r="75" spans="1:4" x14ac:dyDescent="0.25">
      <c r="A75">
        <v>2279407</v>
      </c>
      <c r="B75">
        <v>941941</v>
      </c>
      <c r="C75">
        <v>846478</v>
      </c>
      <c r="D75">
        <v>16644</v>
      </c>
    </row>
    <row r="87" spans="3:7" x14ac:dyDescent="0.25">
      <c r="C87" s="1"/>
      <c r="D87" s="1" t="s">
        <v>12</v>
      </c>
      <c r="E87" s="1"/>
      <c r="F87" s="1"/>
      <c r="G87" s="1"/>
    </row>
    <row r="88" spans="3:7" x14ac:dyDescent="0.25">
      <c r="C88" s="1" t="s">
        <v>0</v>
      </c>
      <c r="D88" s="1" t="s">
        <v>1</v>
      </c>
      <c r="E88" s="1" t="s">
        <v>2</v>
      </c>
      <c r="F88" s="1" t="s">
        <v>3</v>
      </c>
      <c r="G88" s="1" t="s">
        <v>89</v>
      </c>
    </row>
    <row r="89" spans="3:7" x14ac:dyDescent="0.25">
      <c r="C89" s="2">
        <v>572606</v>
      </c>
      <c r="D89" s="2">
        <v>75750</v>
      </c>
      <c r="E89" s="2">
        <v>582454</v>
      </c>
      <c r="F89" s="2">
        <v>8442</v>
      </c>
      <c r="G89" s="7">
        <f t="shared" ref="G89" si="0">(SUM(C89:F89))</f>
        <v>1239252</v>
      </c>
    </row>
    <row r="98" spans="9:13" x14ac:dyDescent="0.25">
      <c r="I98" s="1" t="s">
        <v>90</v>
      </c>
      <c r="J98" s="1" t="s">
        <v>91</v>
      </c>
      <c r="K98" s="1" t="s">
        <v>92</v>
      </c>
      <c r="L98" s="1" t="s">
        <v>93</v>
      </c>
      <c r="M98" s="1"/>
    </row>
    <row r="99" spans="9:13" x14ac:dyDescent="0.25">
      <c r="I99" s="19">
        <v>8805655</v>
      </c>
      <c r="J99" s="19">
        <v>6984520</v>
      </c>
      <c r="K99" s="19">
        <v>5821343</v>
      </c>
      <c r="L99" s="19">
        <v>1495510.2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topLeftCell="A24" workbookViewId="0">
      <selection activeCell="C42" sqref="C42"/>
    </sheetView>
  </sheetViews>
  <sheetFormatPr defaultColWidth="25" defaultRowHeight="15" x14ac:dyDescent="0.25"/>
  <cols>
    <col min="3" max="3" width="14" customWidth="1"/>
    <col min="4" max="4" width="15" customWidth="1"/>
    <col min="5" max="5" width="18.42578125" customWidth="1"/>
    <col min="6" max="6" width="14" customWidth="1"/>
    <col min="7" max="7" width="45.28515625" customWidth="1"/>
    <col min="8" max="8" width="25" style="13"/>
  </cols>
  <sheetData>
    <row r="1" spans="1:9" x14ac:dyDescent="0.25">
      <c r="A1" t="s">
        <v>27</v>
      </c>
      <c r="B1" t="s">
        <v>50</v>
      </c>
      <c r="C1" s="2">
        <v>42572</v>
      </c>
      <c r="D1" s="2">
        <v>68818</v>
      </c>
      <c r="E1" s="2">
        <v>49975</v>
      </c>
      <c r="F1" s="2">
        <v>540</v>
      </c>
      <c r="G1" s="7">
        <f>(SUM(C1:F1))</f>
        <v>161905</v>
      </c>
    </row>
    <row r="2" spans="1:9" x14ac:dyDescent="0.25">
      <c r="A2" t="s">
        <v>5</v>
      </c>
      <c r="B2" t="s">
        <v>45</v>
      </c>
      <c r="C2" s="2">
        <v>201494</v>
      </c>
      <c r="D2" s="2">
        <v>89554</v>
      </c>
      <c r="E2" s="2">
        <v>11397</v>
      </c>
      <c r="F2" s="2">
        <v>264</v>
      </c>
      <c r="G2" s="7">
        <f>(SUM(C2:F2))</f>
        <v>302709</v>
      </c>
    </row>
    <row r="3" spans="1:9" x14ac:dyDescent="0.25">
      <c r="A3" t="s">
        <v>35</v>
      </c>
      <c r="B3" t="s">
        <v>49</v>
      </c>
      <c r="C3" s="2">
        <v>42402</v>
      </c>
      <c r="D3" s="2">
        <v>13503</v>
      </c>
      <c r="E3" s="2">
        <v>259738</v>
      </c>
      <c r="F3" s="2">
        <v>2661</v>
      </c>
      <c r="G3" s="7">
        <f>(SUM(C3:F3))</f>
        <v>318304</v>
      </c>
      <c r="H3" s="14" t="e">
        <f>SUM(#REF!)</f>
        <v>#REF!</v>
      </c>
    </row>
    <row r="4" spans="1:9" x14ac:dyDescent="0.25">
      <c r="A4" t="s">
        <v>23</v>
      </c>
      <c r="B4" t="s">
        <v>49</v>
      </c>
      <c r="C4" s="2">
        <v>8914</v>
      </c>
      <c r="D4" s="2">
        <v>22676</v>
      </c>
      <c r="E4" s="2">
        <v>327095</v>
      </c>
      <c r="F4" s="2">
        <v>1239</v>
      </c>
      <c r="G4" s="7">
        <f>(SUM(C4:F4))</f>
        <v>359924</v>
      </c>
      <c r="H4" s="13" t="s">
        <v>82</v>
      </c>
    </row>
    <row r="5" spans="1:9" x14ac:dyDescent="0.25">
      <c r="A5" t="s">
        <v>11</v>
      </c>
      <c r="B5" t="s">
        <v>48</v>
      </c>
      <c r="C5" s="2">
        <v>151459</v>
      </c>
      <c r="D5" s="2">
        <v>198567</v>
      </c>
      <c r="E5" s="2">
        <v>2406</v>
      </c>
      <c r="F5" s="2">
        <v>18270</v>
      </c>
      <c r="G5" s="7">
        <f>(SUM(C5:F5))</f>
        <v>370702</v>
      </c>
      <c r="I5" s="2">
        <f>SUM(E6:E12)</f>
        <v>1345807</v>
      </c>
    </row>
    <row r="6" spans="1:9" x14ac:dyDescent="0.25">
      <c r="A6" t="s">
        <v>33</v>
      </c>
      <c r="B6" t="s">
        <v>50</v>
      </c>
      <c r="C6" s="2">
        <v>130520</v>
      </c>
      <c r="D6" s="2">
        <v>95425</v>
      </c>
      <c r="E6" s="2">
        <v>179917</v>
      </c>
      <c r="F6" s="2">
        <v>1644</v>
      </c>
      <c r="G6" s="7">
        <f>(SUM(C6:F6))</f>
        <v>407506</v>
      </c>
    </row>
    <row r="7" spans="1:9" x14ac:dyDescent="0.25">
      <c r="A7" t="s">
        <v>6</v>
      </c>
      <c r="B7" t="s">
        <v>47</v>
      </c>
      <c r="C7" s="2">
        <v>263572</v>
      </c>
      <c r="D7" s="2">
        <v>136909</v>
      </c>
      <c r="E7" s="2">
        <v>31166</v>
      </c>
      <c r="F7" s="2">
        <v>3142</v>
      </c>
      <c r="G7" s="7">
        <f>(SUM(C7:F7))</f>
        <v>434789</v>
      </c>
    </row>
    <row r="8" spans="1:9" x14ac:dyDescent="0.25">
      <c r="A8" t="s">
        <v>24</v>
      </c>
      <c r="B8" t="s">
        <v>47</v>
      </c>
      <c r="C8" s="2">
        <v>240751</v>
      </c>
      <c r="D8" s="2">
        <v>145104</v>
      </c>
      <c r="E8" s="2">
        <v>56217</v>
      </c>
      <c r="F8" s="2">
        <v>4238</v>
      </c>
      <c r="G8" s="7">
        <f>(SUM(C8:F8))</f>
        <v>446310</v>
      </c>
    </row>
    <row r="9" spans="1:9" x14ac:dyDescent="0.25">
      <c r="A9" t="s">
        <v>42</v>
      </c>
      <c r="B9" t="s">
        <v>49</v>
      </c>
      <c r="C9" s="2">
        <v>4772</v>
      </c>
      <c r="D9" s="2">
        <v>15749</v>
      </c>
      <c r="E9" s="2">
        <v>428640</v>
      </c>
      <c r="F9" s="2">
        <v>1808</v>
      </c>
      <c r="G9" s="7">
        <f>(SUM(C9:F9))</f>
        <v>450969</v>
      </c>
      <c r="H9" s="14" t="e">
        <f>SUM(#REF!)</f>
        <v>#REF!</v>
      </c>
    </row>
    <row r="10" spans="1:9" x14ac:dyDescent="0.25">
      <c r="A10" t="s">
        <v>20</v>
      </c>
      <c r="B10" t="s">
        <v>47</v>
      </c>
      <c r="C10" s="2">
        <v>90902</v>
      </c>
      <c r="D10" s="2">
        <v>74194</v>
      </c>
      <c r="E10" s="2">
        <v>281717</v>
      </c>
      <c r="F10" s="2">
        <v>4517</v>
      </c>
      <c r="G10" s="7">
        <f>(SUM(C10:F10))</f>
        <v>451330</v>
      </c>
      <c r="H10" s="14">
        <f>SUM(C6:C12)</f>
        <v>1049205</v>
      </c>
    </row>
    <row r="11" spans="1:9" x14ac:dyDescent="0.25">
      <c r="A11" t="s">
        <v>38</v>
      </c>
      <c r="B11" t="s">
        <v>48</v>
      </c>
      <c r="C11" s="2">
        <v>252282</v>
      </c>
      <c r="D11" s="2">
        <v>190921</v>
      </c>
      <c r="E11" s="2">
        <v>7205</v>
      </c>
      <c r="F11" s="2">
        <v>4626</v>
      </c>
      <c r="G11" s="7">
        <f>(SUM(C11:F11))</f>
        <v>455034</v>
      </c>
      <c r="H11" s="14">
        <f>SUM(E1:E6)</f>
        <v>830528</v>
      </c>
      <c r="I11" t="s">
        <v>86</v>
      </c>
    </row>
    <row r="12" spans="1:9" x14ac:dyDescent="0.25">
      <c r="A12" t="s">
        <v>40</v>
      </c>
      <c r="B12" t="s">
        <v>49</v>
      </c>
      <c r="C12" s="2">
        <v>66406</v>
      </c>
      <c r="D12" s="2">
        <v>30234</v>
      </c>
      <c r="E12" s="2">
        <v>360945</v>
      </c>
      <c r="F12" s="2">
        <v>1552</v>
      </c>
      <c r="G12" s="7">
        <f>(SUM(C12:F12))</f>
        <v>459137</v>
      </c>
      <c r="H12" s="13" t="s">
        <v>81</v>
      </c>
    </row>
    <row r="13" spans="1:9" x14ac:dyDescent="0.25">
      <c r="A13" t="s">
        <v>19</v>
      </c>
      <c r="B13" t="s">
        <v>47</v>
      </c>
      <c r="C13" s="2">
        <v>310468</v>
      </c>
      <c r="D13" s="2">
        <v>130081</v>
      </c>
      <c r="E13" s="2">
        <v>30837</v>
      </c>
      <c r="F13" s="2">
        <v>4740</v>
      </c>
      <c r="G13" s="7">
        <f>(SUM(C13:F13))</f>
        <v>476126</v>
      </c>
      <c r="H13" s="13" t="s">
        <v>75</v>
      </c>
      <c r="I13" t="s">
        <v>83</v>
      </c>
    </row>
    <row r="14" spans="1:9" x14ac:dyDescent="0.25">
      <c r="A14" t="s">
        <v>37</v>
      </c>
      <c r="B14" t="s">
        <v>48</v>
      </c>
      <c r="C14" s="2">
        <v>135165</v>
      </c>
      <c r="D14" s="2">
        <v>189017</v>
      </c>
      <c r="E14" s="2">
        <v>146315</v>
      </c>
      <c r="F14" s="2">
        <v>12818</v>
      </c>
      <c r="G14" s="7">
        <f>(SUM(C14:F14))</f>
        <v>483315</v>
      </c>
      <c r="H14" s="13" t="s">
        <v>77</v>
      </c>
      <c r="I14" s="2">
        <f>SUM(D17:D23)</f>
        <v>1294282</v>
      </c>
    </row>
    <row r="15" spans="1:9" x14ac:dyDescent="0.25">
      <c r="A15" t="s">
        <v>39</v>
      </c>
      <c r="B15" t="s">
        <v>50</v>
      </c>
      <c r="C15" s="2">
        <v>231591</v>
      </c>
      <c r="D15" s="2">
        <v>88468</v>
      </c>
      <c r="E15" s="2">
        <v>175071</v>
      </c>
      <c r="F15" s="2">
        <v>1322</v>
      </c>
      <c r="G15" s="7">
        <f>(SUM(C15:F15))</f>
        <v>496452</v>
      </c>
    </row>
    <row r="16" spans="1:9" x14ac:dyDescent="0.25">
      <c r="A16" t="s">
        <v>31</v>
      </c>
      <c r="B16" t="s">
        <v>46</v>
      </c>
      <c r="C16" s="2">
        <v>298396</v>
      </c>
      <c r="D16" s="2">
        <v>193978</v>
      </c>
      <c r="E16" s="2">
        <v>1660</v>
      </c>
      <c r="F16" s="2">
        <v>4044</v>
      </c>
      <c r="G16" s="7">
        <f>(SUM(C16:F16))</f>
        <v>498078</v>
      </c>
      <c r="H16" s="13" t="s">
        <v>80</v>
      </c>
    </row>
    <row r="17" spans="1:9" x14ac:dyDescent="0.25">
      <c r="A17" t="s">
        <v>13</v>
      </c>
      <c r="B17" t="s">
        <v>48</v>
      </c>
      <c r="C17" s="2">
        <v>146977</v>
      </c>
      <c r="D17" s="2">
        <v>319123</v>
      </c>
      <c r="E17" s="2">
        <v>26160</v>
      </c>
      <c r="F17" s="2">
        <v>10520</v>
      </c>
      <c r="G17" s="7">
        <f>(SUM(C17:F17))</f>
        <v>502780</v>
      </c>
      <c r="I17" t="s">
        <v>85</v>
      </c>
    </row>
    <row r="18" spans="1:9" x14ac:dyDescent="0.25">
      <c r="A18" t="s">
        <v>21</v>
      </c>
      <c r="B18" t="s">
        <v>50</v>
      </c>
      <c r="C18" s="2">
        <v>160620</v>
      </c>
      <c r="D18" s="2">
        <v>214012</v>
      </c>
      <c r="E18" s="2">
        <v>132683</v>
      </c>
      <c r="F18" s="2">
        <v>7796</v>
      </c>
      <c r="G18" s="7">
        <f>(SUM(C18:F18))</f>
        <v>515111</v>
      </c>
    </row>
    <row r="19" spans="1:9" x14ac:dyDescent="0.25">
      <c r="A19" t="s">
        <v>17</v>
      </c>
      <c r="B19" t="s">
        <v>47</v>
      </c>
      <c r="C19" s="2">
        <v>172922</v>
      </c>
      <c r="D19" s="2">
        <v>147093</v>
      </c>
      <c r="E19" s="2">
        <v>191361</v>
      </c>
      <c r="F19" s="2">
        <v>12715</v>
      </c>
      <c r="G19" s="7">
        <f>(SUM(C19:F19))</f>
        <v>524091</v>
      </c>
    </row>
    <row r="20" spans="1:9" x14ac:dyDescent="0.25">
      <c r="A20" t="s">
        <v>8</v>
      </c>
      <c r="B20" t="s">
        <v>45</v>
      </c>
      <c r="C20" s="2">
        <v>369924</v>
      </c>
      <c r="D20" s="2">
        <v>115463</v>
      </c>
      <c r="E20" s="2">
        <v>44405</v>
      </c>
      <c r="F20">
        <v>930</v>
      </c>
      <c r="G20" s="7">
        <f>(SUM(C20:F20))</f>
        <v>530722</v>
      </c>
    </row>
    <row r="21" spans="1:9" x14ac:dyDescent="0.25">
      <c r="A21" t="s">
        <v>29</v>
      </c>
      <c r="B21" t="s">
        <v>46</v>
      </c>
      <c r="C21" s="2">
        <v>248088</v>
      </c>
      <c r="D21" s="2">
        <v>285175</v>
      </c>
      <c r="E21" s="2">
        <v>10682</v>
      </c>
      <c r="F21" s="2">
        <v>5038</v>
      </c>
      <c r="G21" s="7">
        <f>(SUM(C21:F21))</f>
        <v>548983</v>
      </c>
      <c r="H21" s="14">
        <f>SUM(C10:C15)</f>
        <v>1086814</v>
      </c>
    </row>
    <row r="22" spans="1:9" x14ac:dyDescent="0.25">
      <c r="A22" t="s">
        <v>9</v>
      </c>
      <c r="B22" t="s">
        <v>45</v>
      </c>
      <c r="C22" s="2">
        <v>341554</v>
      </c>
      <c r="D22" s="2">
        <v>123831</v>
      </c>
      <c r="E22" s="2">
        <v>85829</v>
      </c>
      <c r="F22">
        <v>2.2000000000000002</v>
      </c>
      <c r="G22" s="7">
        <f>(SUM(C22:F22))</f>
        <v>551216.19999999995</v>
      </c>
    </row>
    <row r="23" spans="1:9" x14ac:dyDescent="0.25">
      <c r="A23" t="s">
        <v>22</v>
      </c>
      <c r="B23" t="s">
        <v>50</v>
      </c>
      <c r="C23" s="2">
        <v>144471</v>
      </c>
      <c r="D23" s="2">
        <v>89585</v>
      </c>
      <c r="E23" s="2">
        <v>331163</v>
      </c>
      <c r="F23" s="2">
        <v>2743</v>
      </c>
      <c r="G23" s="7">
        <f>(SUM(C23:F23))</f>
        <v>567962</v>
      </c>
    </row>
    <row r="24" spans="1:9" x14ac:dyDescent="0.25">
      <c r="A24" t="s">
        <v>32</v>
      </c>
      <c r="B24" t="s">
        <v>46</v>
      </c>
      <c r="C24" s="2">
        <v>285444</v>
      </c>
      <c r="D24" s="2">
        <v>288679</v>
      </c>
      <c r="E24" s="2">
        <v>6568</v>
      </c>
      <c r="F24" s="2">
        <v>1300</v>
      </c>
      <c r="G24" s="7">
        <f>(SUM(C24:F24))</f>
        <v>581991</v>
      </c>
      <c r="H24" s="13" t="s">
        <v>79</v>
      </c>
    </row>
    <row r="25" spans="1:9" x14ac:dyDescent="0.25">
      <c r="A25" t="s">
        <v>34</v>
      </c>
      <c r="B25" t="s">
        <v>50</v>
      </c>
      <c r="C25" s="2">
        <v>90183</v>
      </c>
      <c r="D25" s="2">
        <v>161600</v>
      </c>
      <c r="E25" s="2">
        <v>341866</v>
      </c>
      <c r="F25" s="2">
        <v>3122</v>
      </c>
      <c r="G25" s="7">
        <f>(SUM(C25:F25))</f>
        <v>596771</v>
      </c>
    </row>
    <row r="26" spans="1:9" x14ac:dyDescent="0.25">
      <c r="A26" t="s">
        <v>36</v>
      </c>
      <c r="B26" t="s">
        <v>49</v>
      </c>
      <c r="C26" s="2">
        <v>5111</v>
      </c>
      <c r="D26" s="2">
        <v>9036</v>
      </c>
      <c r="E26" s="2">
        <v>584461</v>
      </c>
      <c r="F26" s="2">
        <v>1967</v>
      </c>
      <c r="G26" s="7">
        <f>(SUM(C26:F26))</f>
        <v>600575</v>
      </c>
      <c r="H26" s="14">
        <f>SUM(D13:D18)</f>
        <v>1134679</v>
      </c>
    </row>
    <row r="27" spans="1:9" x14ac:dyDescent="0.25">
      <c r="A27" t="s">
        <v>14</v>
      </c>
      <c r="B27" t="s">
        <v>48</v>
      </c>
      <c r="C27" s="2">
        <v>182881</v>
      </c>
      <c r="D27" s="2">
        <v>417611</v>
      </c>
      <c r="E27" s="2">
        <v>105648</v>
      </c>
      <c r="F27" s="2">
        <v>8006</v>
      </c>
      <c r="G27" s="7">
        <f>(SUM(C27:F27))</f>
        <v>714146</v>
      </c>
      <c r="H27" s="14">
        <f>SUM(D19:D25)</f>
        <v>1211426</v>
      </c>
      <c r="I27" s="2">
        <f>SUM(C32:C38)</f>
        <v>2700108</v>
      </c>
    </row>
    <row r="28" spans="1:9" x14ac:dyDescent="0.25">
      <c r="A28" t="s">
        <v>7</v>
      </c>
      <c r="B28" t="s">
        <v>45</v>
      </c>
      <c r="C28" s="2">
        <v>343945</v>
      </c>
      <c r="D28" s="2">
        <v>354366</v>
      </c>
      <c r="E28" s="2">
        <v>23283</v>
      </c>
      <c r="F28">
        <v>713</v>
      </c>
      <c r="G28" s="7">
        <f>(SUM(C28:F28))</f>
        <v>722307</v>
      </c>
    </row>
    <row r="29" spans="1:9" x14ac:dyDescent="0.25">
      <c r="A29" t="s">
        <v>10</v>
      </c>
      <c r="B29" t="s">
        <v>45</v>
      </c>
      <c r="C29" s="2">
        <v>449884</v>
      </c>
      <c r="D29" s="2">
        <v>182977</v>
      </c>
      <c r="E29" s="2">
        <v>99110</v>
      </c>
      <c r="F29" s="2">
        <v>4095</v>
      </c>
      <c r="G29" s="7">
        <f>(SUM(C29:F29))</f>
        <v>736066</v>
      </c>
    </row>
    <row r="30" spans="1:9" x14ac:dyDescent="0.25">
      <c r="A30" t="s">
        <v>18</v>
      </c>
      <c r="B30" t="s">
        <v>47</v>
      </c>
      <c r="C30" s="2">
        <v>375183</v>
      </c>
      <c r="D30" s="2">
        <v>284898</v>
      </c>
      <c r="E30" s="2">
        <v>80452</v>
      </c>
      <c r="F30" s="2">
        <v>21836</v>
      </c>
      <c r="G30" s="7">
        <f>(SUM(C30:F30))</f>
        <v>762369</v>
      </c>
    </row>
    <row r="31" spans="1:9" x14ac:dyDescent="0.25">
      <c r="A31" t="s">
        <v>25</v>
      </c>
      <c r="B31" t="s">
        <v>48</v>
      </c>
      <c r="C31" s="2">
        <v>316694</v>
      </c>
      <c r="D31" s="2">
        <v>426607</v>
      </c>
      <c r="E31" s="2">
        <v>27373</v>
      </c>
      <c r="F31" s="2">
        <v>72103</v>
      </c>
      <c r="G31" s="7">
        <f>(SUM(C31:F31))</f>
        <v>842777</v>
      </c>
      <c r="H31" s="13" t="s">
        <v>76</v>
      </c>
      <c r="I31" t="s">
        <v>84</v>
      </c>
    </row>
    <row r="32" spans="1:9" x14ac:dyDescent="0.25">
      <c r="A32" t="s">
        <v>16</v>
      </c>
      <c r="B32" t="s">
        <v>46</v>
      </c>
      <c r="C32" s="2">
        <v>421390</v>
      </c>
      <c r="D32" s="2">
        <v>386587</v>
      </c>
      <c r="E32" s="2">
        <v>1889</v>
      </c>
      <c r="F32" s="2">
        <v>98234</v>
      </c>
      <c r="G32" s="7">
        <f>(SUM(C32:F32))</f>
        <v>908100</v>
      </c>
    </row>
    <row r="33" spans="1:9" x14ac:dyDescent="0.25">
      <c r="A33" t="s">
        <v>26</v>
      </c>
      <c r="B33" t="s">
        <v>47</v>
      </c>
      <c r="C33" s="2">
        <v>307195</v>
      </c>
      <c r="D33" s="2">
        <v>243808</v>
      </c>
      <c r="E33" s="2">
        <v>466272</v>
      </c>
      <c r="F33" s="2">
        <v>8869</v>
      </c>
      <c r="G33" s="7">
        <f>(SUM(C33:F33))</f>
        <v>1026144</v>
      </c>
    </row>
    <row r="34" spans="1:9" x14ac:dyDescent="0.25">
      <c r="A34" t="s">
        <v>15</v>
      </c>
      <c r="B34" t="s">
        <v>46</v>
      </c>
      <c r="C34" s="2">
        <v>482283</v>
      </c>
      <c r="D34" s="2">
        <v>489045</v>
      </c>
      <c r="E34" s="2">
        <v>6376</v>
      </c>
      <c r="F34" s="2">
        <v>69386</v>
      </c>
      <c r="G34" s="7">
        <f>(SUM(C34:F34))</f>
        <v>1047090</v>
      </c>
    </row>
    <row r="35" spans="1:9" x14ac:dyDescent="0.25">
      <c r="A35" t="s">
        <v>12</v>
      </c>
      <c r="B35" t="s">
        <v>45</v>
      </c>
      <c r="C35" s="2">
        <v>572606</v>
      </c>
      <c r="D35" s="2">
        <v>75750</v>
      </c>
      <c r="E35" s="2">
        <v>582454</v>
      </c>
      <c r="F35" s="2">
        <v>8442</v>
      </c>
      <c r="G35" s="7">
        <f>(SUM(C35:F35))</f>
        <v>1239252</v>
      </c>
    </row>
    <row r="36" spans="1:9" x14ac:dyDescent="0.25">
      <c r="A36" t="s">
        <v>28</v>
      </c>
      <c r="B36" t="s">
        <v>46</v>
      </c>
      <c r="C36" s="2">
        <v>399293</v>
      </c>
      <c r="D36" s="2">
        <v>554360</v>
      </c>
      <c r="E36" s="2">
        <v>294494</v>
      </c>
      <c r="F36" s="2">
        <v>92969</v>
      </c>
      <c r="G36" s="7">
        <f>(SUM(C36:F36))</f>
        <v>1341116</v>
      </c>
      <c r="H36" s="14" t="e">
        <f>SUM(#REF!)</f>
        <v>#REF!</v>
      </c>
      <c r="I36" s="2" t="e">
        <f>SUM(F35:F41)</f>
        <v>#REF!</v>
      </c>
    </row>
    <row r="37" spans="1:9" x14ac:dyDescent="0.25">
      <c r="A37" t="s">
        <v>30</v>
      </c>
      <c r="B37" t="s">
        <v>46</v>
      </c>
      <c r="C37" s="2">
        <v>517341</v>
      </c>
      <c r="D37" s="2">
        <v>131716</v>
      </c>
      <c r="E37" s="2">
        <v>28513</v>
      </c>
      <c r="F37" s="2">
        <v>997299</v>
      </c>
      <c r="G37" s="7">
        <f>(SUM(C37:F37))</f>
        <v>1674869</v>
      </c>
      <c r="H37" s="13" t="s">
        <v>78</v>
      </c>
      <c r="I37" t="s">
        <v>87</v>
      </c>
    </row>
    <row r="38" spans="1:9" x14ac:dyDescent="0.25">
      <c r="A38" s="1" t="s">
        <v>4</v>
      </c>
      <c r="B38" s="1" t="s">
        <v>41</v>
      </c>
      <c r="C38" s="1" t="s">
        <v>0</v>
      </c>
      <c r="D38" s="1" t="s">
        <v>1</v>
      </c>
      <c r="E38" s="1" t="s">
        <v>2</v>
      </c>
      <c r="F38" s="1" t="s">
        <v>3</v>
      </c>
      <c r="G38" s="1" t="s">
        <v>43</v>
      </c>
    </row>
    <row r="39" spans="1:9" x14ac:dyDescent="0.25">
      <c r="C39" s="2" t="e">
        <f>SUM(#REF!)</f>
        <v>#REF!</v>
      </c>
      <c r="D39" s="2" t="e">
        <f>SUM(#REF!)</f>
        <v>#REF!</v>
      </c>
      <c r="E39" s="2" t="e">
        <f>SUM(#REF!)</f>
        <v>#REF!</v>
      </c>
      <c r="F39" s="2" t="e">
        <f>SUM(#REF!)</f>
        <v>#REF!</v>
      </c>
      <c r="G39" s="2" t="e">
        <f>SUM(#REF!)</f>
        <v>#REF!</v>
      </c>
    </row>
    <row r="40" spans="1:9" x14ac:dyDescent="0.25">
      <c r="C40" s="2" t="e">
        <f>SUM(#REF!)</f>
        <v>#REF!</v>
      </c>
      <c r="D40" s="2" t="e">
        <f>SUM(#REF!)</f>
        <v>#REF!</v>
      </c>
      <c r="E40" s="2" t="e">
        <f>SUM(#REF!)</f>
        <v>#REF!</v>
      </c>
      <c r="F40" s="2" t="e">
        <f>SUM(#REF!)</f>
        <v>#REF!</v>
      </c>
      <c r="G40" s="2" t="e">
        <f>SUM(C40:F40)</f>
        <v>#REF!</v>
      </c>
    </row>
    <row r="41" spans="1:9" ht="18.75" x14ac:dyDescent="0.3">
      <c r="A41" s="4" t="s">
        <v>44</v>
      </c>
      <c r="C41" s="3" t="e">
        <f>SUM(C4:C40)</f>
        <v>#REF!</v>
      </c>
      <c r="D41" s="3" t="e">
        <f>SUM(D4:D40)</f>
        <v>#REF!</v>
      </c>
      <c r="E41" s="3" t="e">
        <f>SUM(E4:E40)</f>
        <v>#REF!</v>
      </c>
      <c r="F41" s="3" t="e">
        <f>SUM(F4:F40)</f>
        <v>#REF!</v>
      </c>
    </row>
    <row r="44" spans="1:9" x14ac:dyDescent="0.25">
      <c r="E44" s="17" t="s">
        <v>67</v>
      </c>
    </row>
    <row r="45" spans="1:9" x14ac:dyDescent="0.25">
      <c r="E45" s="18" t="e">
        <f>SUM(C41:F41)</f>
        <v>#REF!</v>
      </c>
    </row>
    <row r="48" spans="1:9" x14ac:dyDescent="0.25">
      <c r="D48" s="1"/>
    </row>
    <row r="50" spans="3:6" x14ac:dyDescent="0.25">
      <c r="D50" s="1"/>
      <c r="E50" s="1"/>
    </row>
    <row r="51" spans="3:6" x14ac:dyDescent="0.25">
      <c r="E51" s="8"/>
    </row>
    <row r="52" spans="3:6" x14ac:dyDescent="0.25">
      <c r="E52" s="8"/>
    </row>
    <row r="53" spans="3:6" x14ac:dyDescent="0.25">
      <c r="E53" s="8"/>
    </row>
    <row r="54" spans="3:6" x14ac:dyDescent="0.25">
      <c r="E54" s="8"/>
    </row>
    <row r="55" spans="3:6" x14ac:dyDescent="0.25">
      <c r="E55" s="8"/>
    </row>
    <row r="56" spans="3:6" x14ac:dyDescent="0.25">
      <c r="E56" s="8"/>
    </row>
    <row r="57" spans="3:6" x14ac:dyDescent="0.25">
      <c r="E57" s="8"/>
    </row>
    <row r="58" spans="3:6" x14ac:dyDescent="0.25">
      <c r="C58" s="2" t="e">
        <f>SUM(C6:C39)</f>
        <v>#REF!</v>
      </c>
    </row>
    <row r="59" spans="3:6" x14ac:dyDescent="0.25">
      <c r="C59" s="2" t="e">
        <f>SUM(C16:C40)</f>
        <v>#REF!</v>
      </c>
      <c r="D59" s="2" t="e">
        <f>SUM(D16:D40)</f>
        <v>#REF!</v>
      </c>
      <c r="E59" s="2" t="e">
        <f>SUM(E16:E40)</f>
        <v>#REF!</v>
      </c>
      <c r="F59" s="2" t="e">
        <f>SUM(F16:F40)</f>
        <v>#REF!</v>
      </c>
    </row>
    <row r="60" spans="3:6" x14ac:dyDescent="0.25">
      <c r="C60" s="2" t="e">
        <f>SUM(C6:C39)</f>
        <v>#REF!</v>
      </c>
      <c r="D60" s="2" t="e">
        <f>SUM(D6:D39)</f>
        <v>#REF!</v>
      </c>
      <c r="E60" s="2" t="e">
        <f>SUM(E6:E39)</f>
        <v>#REF!</v>
      </c>
      <c r="F60" s="2" t="e">
        <f>SUM(F6:F39)</f>
        <v>#REF!</v>
      </c>
    </row>
    <row r="61" spans="3:6" x14ac:dyDescent="0.25">
      <c r="C61" s="2"/>
      <c r="D61" s="2">
        <f>SUM(D15:D38)</f>
        <v>5583768</v>
      </c>
      <c r="E61" s="2">
        <f>SUM(E15:E38)</f>
        <v>3647773</v>
      </c>
      <c r="F61" s="2">
        <f>SUM(F15:F38)</f>
        <v>1433451.2</v>
      </c>
    </row>
    <row r="64" spans="3:6" x14ac:dyDescent="0.25">
      <c r="C64" s="2"/>
    </row>
    <row r="65" spans="3:6" x14ac:dyDescent="0.25">
      <c r="C65" s="2">
        <f>SUM(C27:C32)</f>
        <v>2089977</v>
      </c>
      <c r="D65" s="2">
        <f>SUM(D27:D32)</f>
        <v>2053046</v>
      </c>
      <c r="E65" s="2">
        <f>SUM(E27:E32)</f>
        <v>337755</v>
      </c>
      <c r="F65" s="2">
        <f>SUM(F27:F32)</f>
        <v>204987</v>
      </c>
    </row>
  </sheetData>
  <autoFilter ref="B1:B64"/>
  <sortState ref="A1:I65">
    <sortCondition ref="G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>
      <selection activeCell="H10" sqref="H10:H11"/>
    </sheetView>
  </sheetViews>
  <sheetFormatPr defaultColWidth="16.5703125" defaultRowHeight="15" x14ac:dyDescent="0.25"/>
  <cols>
    <col min="3" max="3" width="23" customWidth="1"/>
  </cols>
  <sheetData>
    <row r="1" spans="1:9" ht="18.75" x14ac:dyDescent="0.3">
      <c r="I1" s="5" t="s">
        <v>57</v>
      </c>
    </row>
    <row r="2" spans="1:9" ht="20.25" x14ac:dyDescent="0.3">
      <c r="A2" s="6" t="s">
        <v>58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59</v>
      </c>
    </row>
    <row r="3" spans="1:9" x14ac:dyDescent="0.25">
      <c r="A3" t="s">
        <v>52</v>
      </c>
      <c r="B3" s="2">
        <v>2652235</v>
      </c>
      <c r="C3" s="2">
        <v>2329540</v>
      </c>
      <c r="D3" s="2">
        <v>350182</v>
      </c>
      <c r="E3" s="2">
        <v>1268270</v>
      </c>
      <c r="F3" s="15">
        <f t="shared" ref="F3:F8" si="0">SUM(B3:E3)</f>
        <v>6600227</v>
      </c>
    </row>
    <row r="4" spans="1:9" x14ac:dyDescent="0.25">
      <c r="A4" t="s">
        <v>51</v>
      </c>
      <c r="B4" s="2">
        <v>1760993</v>
      </c>
      <c r="C4" s="2">
        <v>1162087</v>
      </c>
      <c r="D4" s="2">
        <v>1138022</v>
      </c>
      <c r="E4" s="2">
        <v>60057</v>
      </c>
      <c r="F4" s="15">
        <f t="shared" si="0"/>
        <v>4121159</v>
      </c>
    </row>
    <row r="5" spans="1:9" x14ac:dyDescent="0.25">
      <c r="A5" t="s">
        <v>56</v>
      </c>
      <c r="B5" s="2">
        <v>2279407</v>
      </c>
      <c r="C5" s="2">
        <v>941941</v>
      </c>
      <c r="D5" s="2">
        <v>846478</v>
      </c>
      <c r="E5" s="2">
        <v>16644</v>
      </c>
      <c r="F5" s="15">
        <f t="shared" si="0"/>
        <v>4084470</v>
      </c>
    </row>
    <row r="6" spans="1:9" x14ac:dyDescent="0.25">
      <c r="A6" t="s">
        <v>53</v>
      </c>
      <c r="B6" s="2">
        <v>1185458</v>
      </c>
      <c r="C6" s="2">
        <v>1741846</v>
      </c>
      <c r="D6" s="2">
        <v>312701</v>
      </c>
      <c r="E6" s="2">
        <v>420774</v>
      </c>
      <c r="F6" s="15">
        <f t="shared" si="0"/>
        <v>3660779</v>
      </c>
    </row>
    <row r="7" spans="1:9" x14ac:dyDescent="0.25">
      <c r="A7" t="s">
        <v>54</v>
      </c>
      <c r="B7" s="2">
        <v>799957</v>
      </c>
      <c r="C7" s="2">
        <v>717908</v>
      </c>
      <c r="D7" s="2">
        <v>1210675</v>
      </c>
      <c r="E7" s="2">
        <v>17167</v>
      </c>
      <c r="F7" s="15">
        <f t="shared" si="0"/>
        <v>2745707</v>
      </c>
    </row>
    <row r="8" spans="1:9" x14ac:dyDescent="0.25">
      <c r="A8" t="s">
        <v>55</v>
      </c>
      <c r="B8" s="2">
        <v>127605</v>
      </c>
      <c r="C8" s="2">
        <v>91198</v>
      </c>
      <c r="D8" s="2">
        <v>1960879</v>
      </c>
      <c r="E8" s="2">
        <v>9227</v>
      </c>
      <c r="F8" s="15">
        <f t="shared" si="0"/>
        <v>2188909</v>
      </c>
    </row>
    <row r="9" spans="1:9" x14ac:dyDescent="0.25">
      <c r="F9" s="16">
        <f>SUM(F3:F8)</f>
        <v>23401251</v>
      </c>
    </row>
    <row r="10" spans="1:9" x14ac:dyDescent="0.25">
      <c r="H10" s="1" t="s">
        <v>67</v>
      </c>
    </row>
    <row r="11" spans="1:9" x14ac:dyDescent="0.25">
      <c r="H11" s="7">
        <v>24025940</v>
      </c>
    </row>
    <row r="15" spans="1:9" ht="20.25" x14ac:dyDescent="0.3">
      <c r="B15" s="6" t="s">
        <v>88</v>
      </c>
      <c r="C15" s="20" t="s">
        <v>67</v>
      </c>
    </row>
    <row r="16" spans="1:9" x14ac:dyDescent="0.25">
      <c r="B16" t="s">
        <v>52</v>
      </c>
      <c r="C16" s="19">
        <v>6600227</v>
      </c>
    </row>
    <row r="17" spans="2:15" x14ac:dyDescent="0.25">
      <c r="B17" t="s">
        <v>51</v>
      </c>
      <c r="C17" s="19">
        <v>4121159</v>
      </c>
    </row>
    <row r="18" spans="2:15" x14ac:dyDescent="0.25">
      <c r="B18" t="s">
        <v>56</v>
      </c>
      <c r="C18" s="19">
        <v>4084470</v>
      </c>
    </row>
    <row r="19" spans="2:15" x14ac:dyDescent="0.25">
      <c r="B19" t="s">
        <v>53</v>
      </c>
      <c r="C19" s="19">
        <v>3660779</v>
      </c>
      <c r="I19" t="s">
        <v>62</v>
      </c>
    </row>
    <row r="20" spans="2:15" x14ac:dyDescent="0.25">
      <c r="B20" t="s">
        <v>54</v>
      </c>
      <c r="C20" s="19">
        <v>2745707</v>
      </c>
    </row>
    <row r="21" spans="2:15" x14ac:dyDescent="0.25">
      <c r="B21" t="s">
        <v>55</v>
      </c>
      <c r="C21" s="19">
        <v>2188909</v>
      </c>
      <c r="I21" s="1" t="s">
        <v>4</v>
      </c>
      <c r="J21" s="1" t="s">
        <v>61</v>
      </c>
      <c r="N21" s="1" t="s">
        <v>60</v>
      </c>
    </row>
    <row r="22" spans="2:15" x14ac:dyDescent="0.25">
      <c r="I22" t="s">
        <v>25</v>
      </c>
      <c r="J22" s="7">
        <v>842777</v>
      </c>
    </row>
    <row r="23" spans="2:15" x14ac:dyDescent="0.25">
      <c r="D23" t="s">
        <v>63</v>
      </c>
      <c r="I23" t="s">
        <v>14</v>
      </c>
      <c r="J23" s="7">
        <v>714146</v>
      </c>
      <c r="N23" s="1" t="s">
        <v>4</v>
      </c>
      <c r="O23" s="1" t="s">
        <v>61</v>
      </c>
    </row>
    <row r="24" spans="2:15" x14ac:dyDescent="0.25">
      <c r="D24" s="1" t="s">
        <v>64</v>
      </c>
      <c r="E24" s="1" t="s">
        <v>61</v>
      </c>
      <c r="I24" t="s">
        <v>13</v>
      </c>
      <c r="J24" s="7">
        <v>502780</v>
      </c>
      <c r="N24" t="s">
        <v>26</v>
      </c>
      <c r="O24" s="8">
        <v>1026144</v>
      </c>
    </row>
    <row r="25" spans="2:15" x14ac:dyDescent="0.25">
      <c r="D25" t="s">
        <v>30</v>
      </c>
      <c r="E25" s="7">
        <v>1674869</v>
      </c>
      <c r="I25" t="s">
        <v>37</v>
      </c>
      <c r="J25" s="7">
        <v>483315</v>
      </c>
      <c r="N25" t="s">
        <v>18</v>
      </c>
      <c r="O25" s="8">
        <v>762369</v>
      </c>
    </row>
    <row r="26" spans="2:15" x14ac:dyDescent="0.25">
      <c r="D26" t="s">
        <v>28</v>
      </c>
      <c r="E26" s="7">
        <v>1341116</v>
      </c>
      <c r="I26" t="s">
        <v>38</v>
      </c>
      <c r="J26" s="7">
        <v>455034</v>
      </c>
      <c r="N26" t="s">
        <v>17</v>
      </c>
      <c r="O26" s="8">
        <v>524091</v>
      </c>
    </row>
    <row r="27" spans="2:15" x14ac:dyDescent="0.25">
      <c r="D27" t="s">
        <v>15</v>
      </c>
      <c r="E27" s="7">
        <v>1047090</v>
      </c>
      <c r="I27" t="s">
        <v>11</v>
      </c>
      <c r="J27" s="7">
        <v>370702</v>
      </c>
      <c r="N27" t="s">
        <v>19</v>
      </c>
      <c r="O27" s="8">
        <v>476126</v>
      </c>
    </row>
    <row r="28" spans="2:15" x14ac:dyDescent="0.25">
      <c r="D28" t="s">
        <v>16</v>
      </c>
      <c r="E28" s="7">
        <v>908100</v>
      </c>
      <c r="J28" s="7">
        <f>SUM(Table7[VOTES])</f>
        <v>3368754</v>
      </c>
      <c r="N28" t="s">
        <v>20</v>
      </c>
      <c r="O28" s="8">
        <v>451330</v>
      </c>
    </row>
    <row r="29" spans="2:15" x14ac:dyDescent="0.25">
      <c r="D29" t="s">
        <v>32</v>
      </c>
      <c r="E29" s="7">
        <v>581991</v>
      </c>
      <c r="N29" t="s">
        <v>24</v>
      </c>
      <c r="O29" s="8">
        <v>446310</v>
      </c>
    </row>
    <row r="30" spans="2:15" x14ac:dyDescent="0.25">
      <c r="D30" t="s">
        <v>29</v>
      </c>
      <c r="E30" s="7">
        <v>548983</v>
      </c>
      <c r="N30" t="s">
        <v>6</v>
      </c>
      <c r="O30" s="8">
        <v>434789</v>
      </c>
    </row>
    <row r="31" spans="2:15" x14ac:dyDescent="0.25">
      <c r="D31" t="s">
        <v>31</v>
      </c>
      <c r="E31" s="7">
        <v>498078</v>
      </c>
    </row>
    <row r="32" spans="2:15" x14ac:dyDescent="0.25">
      <c r="E32" s="7">
        <f>SUM(Table8[VOTES])</f>
        <v>6600227</v>
      </c>
    </row>
    <row r="33" spans="5:15" x14ac:dyDescent="0.25">
      <c r="N33" t="s">
        <v>50</v>
      </c>
    </row>
    <row r="34" spans="5:15" x14ac:dyDescent="0.25">
      <c r="I34" t="s">
        <v>65</v>
      </c>
    </row>
    <row r="35" spans="5:15" x14ac:dyDescent="0.25">
      <c r="E35" t="s">
        <v>66</v>
      </c>
      <c r="I35" s="1" t="s">
        <v>4</v>
      </c>
      <c r="J35" s="1" t="s">
        <v>61</v>
      </c>
      <c r="N35" s="1" t="s">
        <v>4</v>
      </c>
      <c r="O35" s="1" t="s">
        <v>61</v>
      </c>
    </row>
    <row r="36" spans="5:15" x14ac:dyDescent="0.25">
      <c r="E36" s="1" t="s">
        <v>64</v>
      </c>
      <c r="F36" s="1" t="s">
        <v>61</v>
      </c>
      <c r="I36" t="s">
        <v>36</v>
      </c>
      <c r="J36" s="7">
        <v>600575</v>
      </c>
      <c r="N36" t="s">
        <v>34</v>
      </c>
      <c r="O36" s="7">
        <v>596771</v>
      </c>
    </row>
    <row r="37" spans="5:15" x14ac:dyDescent="0.25">
      <c r="E37" t="s">
        <v>12</v>
      </c>
      <c r="F37" s="7">
        <v>1239252</v>
      </c>
      <c r="I37" t="s">
        <v>40</v>
      </c>
      <c r="J37" s="7">
        <v>459137</v>
      </c>
      <c r="N37" t="s">
        <v>22</v>
      </c>
      <c r="O37" s="7">
        <v>567962</v>
      </c>
    </row>
    <row r="38" spans="5:15" x14ac:dyDescent="0.25">
      <c r="E38" t="s">
        <v>10</v>
      </c>
      <c r="F38" s="7">
        <v>736066</v>
      </c>
      <c r="I38" t="s">
        <v>42</v>
      </c>
      <c r="J38" s="7">
        <v>450969</v>
      </c>
      <c r="N38" t="s">
        <v>21</v>
      </c>
      <c r="O38" s="7">
        <v>515111</v>
      </c>
    </row>
    <row r="39" spans="5:15" x14ac:dyDescent="0.25">
      <c r="E39" t="s">
        <v>7</v>
      </c>
      <c r="F39" s="7">
        <v>722307</v>
      </c>
      <c r="I39" t="s">
        <v>23</v>
      </c>
      <c r="J39" s="7">
        <v>359924</v>
      </c>
      <c r="N39" t="s">
        <v>39</v>
      </c>
      <c r="O39" s="7">
        <v>496452</v>
      </c>
    </row>
    <row r="40" spans="5:15" x14ac:dyDescent="0.25">
      <c r="E40" t="s">
        <v>9</v>
      </c>
      <c r="F40" s="7">
        <v>553414</v>
      </c>
      <c r="I40" t="s">
        <v>35</v>
      </c>
      <c r="J40" s="7">
        <v>318304</v>
      </c>
      <c r="N40" t="s">
        <v>33</v>
      </c>
      <c r="O40" s="7">
        <v>407506</v>
      </c>
    </row>
    <row r="41" spans="5:15" x14ac:dyDescent="0.25">
      <c r="E41" t="s">
        <v>8</v>
      </c>
      <c r="F41" s="7">
        <v>530722</v>
      </c>
      <c r="J41" s="7">
        <f>SUM(Table9[VOTES])</f>
        <v>2188909</v>
      </c>
      <c r="N41" t="s">
        <v>27</v>
      </c>
      <c r="O41" s="7">
        <v>161905</v>
      </c>
    </row>
    <row r="42" spans="5:15" x14ac:dyDescent="0.25">
      <c r="E42" t="s">
        <v>5</v>
      </c>
      <c r="F42" s="7">
        <v>302709</v>
      </c>
    </row>
    <row r="43" spans="5:15" x14ac:dyDescent="0.25">
      <c r="F43" s="7">
        <f>SUM(Table11[VOTES])</f>
        <v>4084470</v>
      </c>
    </row>
  </sheetData>
  <sortState ref="A3:F8">
    <sortCondition descending="1" ref="F3"/>
  </sortState>
  <pageMargins left="0.7" right="0.7" top="0.75" bottom="0.75" header="0.3" footer="0.3"/>
  <pageSetup orientation="portrait" r:id="rId1"/>
  <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opLeftCell="A5" workbookViewId="0">
      <selection activeCell="C19" sqref="C19:D29"/>
    </sheetView>
  </sheetViews>
  <sheetFormatPr defaultColWidth="13.42578125" defaultRowHeight="15" x14ac:dyDescent="0.25"/>
  <cols>
    <col min="8" max="8" width="16.140625" customWidth="1"/>
  </cols>
  <sheetData>
    <row r="1" spans="1:8" x14ac:dyDescent="0.25">
      <c r="A1" s="1" t="s">
        <v>4</v>
      </c>
      <c r="B1" s="1" t="s">
        <v>41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68</v>
      </c>
      <c r="H1" s="1" t="s">
        <v>67</v>
      </c>
    </row>
    <row r="2" spans="1:8" x14ac:dyDescent="0.25">
      <c r="A2" t="s">
        <v>30</v>
      </c>
      <c r="B2" t="s">
        <v>46</v>
      </c>
      <c r="C2" s="2">
        <v>517341</v>
      </c>
      <c r="D2" s="2">
        <v>131716</v>
      </c>
      <c r="E2" s="2">
        <v>28513</v>
      </c>
      <c r="F2" s="2">
        <v>997299</v>
      </c>
      <c r="G2" s="2" t="s">
        <v>3</v>
      </c>
      <c r="H2" s="7">
        <v>1674869</v>
      </c>
    </row>
    <row r="3" spans="1:8" x14ac:dyDescent="0.25">
      <c r="A3" t="s">
        <v>28</v>
      </c>
      <c r="B3" t="s">
        <v>46</v>
      </c>
      <c r="C3" s="2">
        <v>399293</v>
      </c>
      <c r="D3" s="2">
        <v>554360</v>
      </c>
      <c r="E3" s="2">
        <v>294494</v>
      </c>
      <c r="F3" s="2">
        <v>92969</v>
      </c>
      <c r="G3" s="2" t="s">
        <v>1</v>
      </c>
      <c r="H3" s="7">
        <v>1341116</v>
      </c>
    </row>
    <row r="4" spans="1:8" x14ac:dyDescent="0.25">
      <c r="A4" t="s">
        <v>12</v>
      </c>
      <c r="B4" t="s">
        <v>45</v>
      </c>
      <c r="C4" s="2">
        <v>572606</v>
      </c>
      <c r="D4" s="2">
        <v>75750</v>
      </c>
      <c r="E4" s="2">
        <v>582454</v>
      </c>
      <c r="F4" s="2">
        <v>8442</v>
      </c>
      <c r="G4" s="2" t="s">
        <v>2</v>
      </c>
      <c r="H4" s="7">
        <v>1239252</v>
      </c>
    </row>
    <row r="5" spans="1:8" x14ac:dyDescent="0.25">
      <c r="A5" t="s">
        <v>15</v>
      </c>
      <c r="B5" t="s">
        <v>46</v>
      </c>
      <c r="C5" s="2">
        <v>482283</v>
      </c>
      <c r="D5" s="2">
        <v>489045</v>
      </c>
      <c r="E5" s="2">
        <v>6376</v>
      </c>
      <c r="F5" s="2">
        <v>69386</v>
      </c>
      <c r="G5" s="2" t="s">
        <v>1</v>
      </c>
      <c r="H5" s="7">
        <v>1047090</v>
      </c>
    </row>
    <row r="6" spans="1:8" x14ac:dyDescent="0.25">
      <c r="A6" t="s">
        <v>26</v>
      </c>
      <c r="B6" t="s">
        <v>47</v>
      </c>
      <c r="C6" s="2">
        <v>307195</v>
      </c>
      <c r="D6" s="2">
        <v>243808</v>
      </c>
      <c r="E6" s="2">
        <v>466272</v>
      </c>
      <c r="F6" s="2">
        <v>8869</v>
      </c>
      <c r="G6" s="2" t="s">
        <v>2</v>
      </c>
      <c r="H6" s="7">
        <v>1026144</v>
      </c>
    </row>
    <row r="7" spans="1:8" x14ac:dyDescent="0.25">
      <c r="A7" t="s">
        <v>16</v>
      </c>
      <c r="B7" t="s">
        <v>46</v>
      </c>
      <c r="C7" s="2">
        <v>421390</v>
      </c>
      <c r="D7" s="2">
        <v>386587</v>
      </c>
      <c r="E7" s="2">
        <v>1889</v>
      </c>
      <c r="F7" s="2">
        <v>98234</v>
      </c>
      <c r="G7" s="2" t="s">
        <v>0</v>
      </c>
      <c r="H7" s="7">
        <v>908100</v>
      </c>
    </row>
    <row r="8" spans="1:8" x14ac:dyDescent="0.25">
      <c r="A8" t="s">
        <v>25</v>
      </c>
      <c r="B8" t="s">
        <v>48</v>
      </c>
      <c r="C8" s="2">
        <v>316694</v>
      </c>
      <c r="D8" s="2">
        <v>426607</v>
      </c>
      <c r="E8" s="2">
        <v>27373</v>
      </c>
      <c r="F8" s="2">
        <v>72103</v>
      </c>
      <c r="G8" s="2" t="s">
        <v>1</v>
      </c>
      <c r="H8" s="7">
        <v>842777</v>
      </c>
    </row>
    <row r="9" spans="1:8" x14ac:dyDescent="0.25">
      <c r="A9" t="s">
        <v>18</v>
      </c>
      <c r="B9" t="s">
        <v>47</v>
      </c>
      <c r="C9" s="2">
        <v>375183</v>
      </c>
      <c r="D9" s="2">
        <v>284898</v>
      </c>
      <c r="E9" s="2">
        <v>80452</v>
      </c>
      <c r="F9" s="2">
        <v>21836</v>
      </c>
      <c r="G9" s="2" t="s">
        <v>0</v>
      </c>
      <c r="H9" s="7">
        <v>762369</v>
      </c>
    </row>
    <row r="10" spans="1:8" x14ac:dyDescent="0.25">
      <c r="A10" t="s">
        <v>10</v>
      </c>
      <c r="B10" t="s">
        <v>45</v>
      </c>
      <c r="C10" s="2">
        <v>449884</v>
      </c>
      <c r="D10" s="2">
        <v>182977</v>
      </c>
      <c r="E10" s="2">
        <v>99110</v>
      </c>
      <c r="F10" s="2">
        <v>4095</v>
      </c>
      <c r="G10" s="2" t="s">
        <v>0</v>
      </c>
      <c r="H10" s="7">
        <v>736066</v>
      </c>
    </row>
    <row r="11" spans="1:8" x14ac:dyDescent="0.25">
      <c r="A11" t="s">
        <v>7</v>
      </c>
      <c r="B11" t="s">
        <v>45</v>
      </c>
      <c r="C11" s="2">
        <v>343945</v>
      </c>
      <c r="D11" s="2">
        <v>354366</v>
      </c>
      <c r="E11" s="2">
        <v>23283</v>
      </c>
      <c r="F11">
        <v>713</v>
      </c>
      <c r="G11" s="2" t="s">
        <v>1</v>
      </c>
      <c r="H11" s="7">
        <v>722307</v>
      </c>
    </row>
    <row r="19" spans="3:4" x14ac:dyDescent="0.25">
      <c r="C19" s="1" t="s">
        <v>4</v>
      </c>
      <c r="D19" s="1" t="s">
        <v>67</v>
      </c>
    </row>
    <row r="20" spans="3:4" x14ac:dyDescent="0.25">
      <c r="C20" t="s">
        <v>30</v>
      </c>
      <c r="D20" s="7">
        <v>1674869</v>
      </c>
    </row>
    <row r="21" spans="3:4" x14ac:dyDescent="0.25">
      <c r="C21" t="s">
        <v>28</v>
      </c>
      <c r="D21" s="7">
        <v>1341116</v>
      </c>
    </row>
    <row r="22" spans="3:4" x14ac:dyDescent="0.25">
      <c r="C22" t="s">
        <v>12</v>
      </c>
      <c r="D22" s="7">
        <v>1239252</v>
      </c>
    </row>
    <row r="23" spans="3:4" x14ac:dyDescent="0.25">
      <c r="C23" t="s">
        <v>15</v>
      </c>
      <c r="D23" s="7">
        <v>1047090</v>
      </c>
    </row>
    <row r="24" spans="3:4" x14ac:dyDescent="0.25">
      <c r="C24" t="s">
        <v>26</v>
      </c>
      <c r="D24" s="7">
        <v>1026144</v>
      </c>
    </row>
    <row r="25" spans="3:4" x14ac:dyDescent="0.25">
      <c r="C25" t="s">
        <v>16</v>
      </c>
      <c r="D25" s="7">
        <v>908100</v>
      </c>
    </row>
    <row r="26" spans="3:4" x14ac:dyDescent="0.25">
      <c r="C26" t="s">
        <v>25</v>
      </c>
      <c r="D26" s="7">
        <v>842777</v>
      </c>
    </row>
    <row r="27" spans="3:4" x14ac:dyDescent="0.25">
      <c r="C27" t="s">
        <v>18</v>
      </c>
      <c r="D27" s="7">
        <v>762369</v>
      </c>
    </row>
    <row r="28" spans="3:4" x14ac:dyDescent="0.25">
      <c r="C28" t="s">
        <v>10</v>
      </c>
      <c r="D28" s="7">
        <v>736066</v>
      </c>
    </row>
    <row r="29" spans="3:4" x14ac:dyDescent="0.25">
      <c r="C29" t="s">
        <v>7</v>
      </c>
      <c r="D29" s="7">
        <v>722307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topLeftCell="E7" workbookViewId="0">
      <selection activeCell="J14" sqref="J14:M25"/>
    </sheetView>
  </sheetViews>
  <sheetFormatPr defaultRowHeight="15" x14ac:dyDescent="0.25"/>
  <cols>
    <col min="1" max="1" width="14.85546875" customWidth="1"/>
    <col min="2" max="4" width="12.85546875" bestFit="1" customWidth="1"/>
    <col min="5" max="5" width="13.42578125" bestFit="1" customWidth="1"/>
    <col min="6" max="6" width="15.5703125" bestFit="1" customWidth="1"/>
    <col min="7" max="7" width="10" customWidth="1"/>
    <col min="8" max="10" width="8.42578125" customWidth="1"/>
    <col min="11" max="11" width="17.85546875" customWidth="1"/>
    <col min="12" max="12" width="19.7109375" customWidth="1"/>
    <col min="13" max="13" width="23.5703125" customWidth="1"/>
    <col min="14" max="14" width="12.140625" customWidth="1"/>
    <col min="15" max="15" width="12" bestFit="1" customWidth="1"/>
    <col min="16" max="16" width="10.5703125" customWidth="1"/>
    <col min="17" max="17" width="12.28515625" bestFit="1" customWidth="1"/>
    <col min="18" max="18" width="12" customWidth="1"/>
    <col min="19" max="19" width="10.5703125" customWidth="1"/>
    <col min="20" max="20" width="12.28515625" bestFit="1" customWidth="1"/>
    <col min="21" max="21" width="12" bestFit="1" customWidth="1"/>
    <col min="22" max="22" width="10.5703125" customWidth="1"/>
    <col min="23" max="23" width="12.28515625" bestFit="1" customWidth="1"/>
    <col min="24" max="24" width="12" customWidth="1"/>
    <col min="25" max="25" width="10.5703125" customWidth="1"/>
    <col min="26" max="26" width="12.28515625" customWidth="1"/>
    <col min="27" max="27" width="12" customWidth="1"/>
    <col min="28" max="28" width="10.5703125" bestFit="1" customWidth="1"/>
    <col min="29" max="29" width="12.28515625" bestFit="1" customWidth="1"/>
    <col min="30" max="30" width="12" bestFit="1" customWidth="1"/>
    <col min="31" max="31" width="10.5703125" bestFit="1" customWidth="1"/>
    <col min="32" max="32" width="12.28515625" bestFit="1" customWidth="1"/>
    <col min="33" max="33" width="12" bestFit="1" customWidth="1"/>
    <col min="34" max="34" width="10.5703125" bestFit="1" customWidth="1"/>
    <col min="35" max="35" width="12.28515625" bestFit="1" customWidth="1"/>
    <col min="36" max="36" width="12" bestFit="1" customWidth="1"/>
    <col min="37" max="37" width="10.5703125" bestFit="1" customWidth="1"/>
    <col min="38" max="38" width="18" bestFit="1" customWidth="1"/>
    <col min="39" max="39" width="17.7109375" bestFit="1" customWidth="1"/>
    <col min="40" max="40" width="16.140625" bestFit="1" customWidth="1"/>
  </cols>
  <sheetData>
    <row r="1" spans="1:18" ht="18.75" x14ac:dyDescent="0.3">
      <c r="A1" s="5" t="s">
        <v>4</v>
      </c>
      <c r="B1" s="5" t="s">
        <v>99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89</v>
      </c>
    </row>
    <row r="2" spans="1:18" x14ac:dyDescent="0.25">
      <c r="A2" t="s">
        <v>27</v>
      </c>
      <c r="B2" t="s">
        <v>50</v>
      </c>
      <c r="C2" s="2">
        <v>42572</v>
      </c>
      <c r="D2" s="2">
        <v>68818</v>
      </c>
      <c r="E2" s="2">
        <v>49975</v>
      </c>
      <c r="F2" s="2">
        <v>540</v>
      </c>
      <c r="G2" s="7">
        <f>(SUM(C2:F2))</f>
        <v>161905</v>
      </c>
    </row>
    <row r="3" spans="1:18" x14ac:dyDescent="0.25">
      <c r="A3" t="s">
        <v>5</v>
      </c>
      <c r="B3" t="s">
        <v>45</v>
      </c>
      <c r="C3" s="2">
        <v>201494</v>
      </c>
      <c r="D3" s="2">
        <v>89554</v>
      </c>
      <c r="E3" s="2">
        <v>11397</v>
      </c>
      <c r="F3" s="2">
        <v>264</v>
      </c>
      <c r="G3" s="7">
        <f>(SUM(C3:F3))</f>
        <v>302709</v>
      </c>
    </row>
    <row r="4" spans="1:18" x14ac:dyDescent="0.25">
      <c r="A4" t="s">
        <v>35</v>
      </c>
      <c r="B4" t="s">
        <v>49</v>
      </c>
      <c r="C4" s="2">
        <v>42402</v>
      </c>
      <c r="D4" s="2">
        <v>13503</v>
      </c>
      <c r="E4" s="2">
        <v>259738</v>
      </c>
      <c r="F4" s="2">
        <v>2661</v>
      </c>
      <c r="G4" s="7">
        <f>(SUM(C4:F4))</f>
        <v>318304</v>
      </c>
    </row>
    <row r="5" spans="1:18" x14ac:dyDescent="0.25">
      <c r="A5" t="s">
        <v>23</v>
      </c>
      <c r="B5" t="s">
        <v>49</v>
      </c>
      <c r="C5" s="2">
        <v>8914</v>
      </c>
      <c r="D5" s="2">
        <v>22676</v>
      </c>
      <c r="E5" s="2">
        <v>327095</v>
      </c>
      <c r="F5" s="2">
        <v>1239</v>
      </c>
      <c r="G5" s="7">
        <f>(SUM(C5:F5))</f>
        <v>359924</v>
      </c>
    </row>
    <row r="6" spans="1:18" x14ac:dyDescent="0.25">
      <c r="A6" t="s">
        <v>11</v>
      </c>
      <c r="B6" t="s">
        <v>48</v>
      </c>
      <c r="C6" s="2">
        <v>151459</v>
      </c>
      <c r="D6" s="2">
        <v>198567</v>
      </c>
      <c r="E6" s="2">
        <v>2406</v>
      </c>
      <c r="F6" s="2">
        <v>18270</v>
      </c>
      <c r="G6" s="7">
        <f>(SUM(C6:F6))</f>
        <v>370702</v>
      </c>
    </row>
    <row r="7" spans="1:18" x14ac:dyDescent="0.25">
      <c r="A7" t="s">
        <v>33</v>
      </c>
      <c r="B7" t="s">
        <v>50</v>
      </c>
      <c r="C7" s="2">
        <v>130520</v>
      </c>
      <c r="D7" s="2">
        <v>95425</v>
      </c>
      <c r="E7" s="2">
        <v>179917</v>
      </c>
      <c r="F7" s="2">
        <v>1644</v>
      </c>
      <c r="G7" s="7">
        <f>(SUM(C7:F7))</f>
        <v>407506</v>
      </c>
    </row>
    <row r="8" spans="1:18" x14ac:dyDescent="0.25">
      <c r="A8" t="s">
        <v>6</v>
      </c>
      <c r="B8" t="s">
        <v>47</v>
      </c>
      <c r="C8" s="2">
        <v>263572</v>
      </c>
      <c r="D8" s="2">
        <v>136909</v>
      </c>
      <c r="E8" s="2">
        <v>31166</v>
      </c>
      <c r="F8" s="2">
        <v>3142</v>
      </c>
      <c r="G8" s="7">
        <f>(SUM(C8:F8))</f>
        <v>434789</v>
      </c>
    </row>
    <row r="9" spans="1:18" x14ac:dyDescent="0.25">
      <c r="A9" t="s">
        <v>24</v>
      </c>
      <c r="B9" t="s">
        <v>47</v>
      </c>
      <c r="C9" s="2">
        <v>240751</v>
      </c>
      <c r="D9" s="2">
        <v>145104</v>
      </c>
      <c r="E9" s="2">
        <v>56217</v>
      </c>
      <c r="F9" s="2">
        <v>4238</v>
      </c>
      <c r="G9" s="7">
        <f>(SUM(C9:F9))</f>
        <v>446310</v>
      </c>
      <c r="N9" s="2"/>
      <c r="O9" s="2"/>
      <c r="P9" s="2"/>
      <c r="Q9" s="2"/>
      <c r="R9" s="7"/>
    </row>
    <row r="10" spans="1:18" x14ac:dyDescent="0.25">
      <c r="A10" t="s">
        <v>42</v>
      </c>
      <c r="B10" t="s">
        <v>49</v>
      </c>
      <c r="C10" s="2">
        <v>4772</v>
      </c>
      <c r="D10" s="2">
        <v>15749</v>
      </c>
      <c r="E10" s="2">
        <v>428640</v>
      </c>
      <c r="F10" s="2">
        <v>1808</v>
      </c>
      <c r="G10" s="7">
        <f>(SUM(C10:F10))</f>
        <v>450969</v>
      </c>
      <c r="N10" s="2"/>
      <c r="O10" s="2"/>
      <c r="P10" s="2"/>
      <c r="Q10" s="2"/>
      <c r="R10" s="7"/>
    </row>
    <row r="11" spans="1:18" x14ac:dyDescent="0.25">
      <c r="A11" t="s">
        <v>20</v>
      </c>
      <c r="B11" t="s">
        <v>47</v>
      </c>
      <c r="C11" s="2">
        <v>90902</v>
      </c>
      <c r="D11" s="2">
        <v>74194</v>
      </c>
      <c r="E11" s="2">
        <v>281717</v>
      </c>
      <c r="F11" s="2">
        <v>4517</v>
      </c>
      <c r="G11" s="7">
        <f>(SUM(C11:F11))</f>
        <v>451330</v>
      </c>
      <c r="N11" s="2"/>
      <c r="O11" s="2"/>
      <c r="P11" s="2"/>
      <c r="Q11" s="2"/>
      <c r="R11" s="7"/>
    </row>
    <row r="12" spans="1:18" x14ac:dyDescent="0.25">
      <c r="A12" s="11"/>
      <c r="B12" s="10"/>
      <c r="C12" s="10"/>
      <c r="D12" s="10"/>
      <c r="E12" s="10"/>
      <c r="F12" s="12"/>
      <c r="N12" s="2"/>
      <c r="O12" s="2"/>
      <c r="P12" s="2"/>
      <c r="Q12" s="2"/>
      <c r="R12" s="7"/>
    </row>
    <row r="13" spans="1:18" x14ac:dyDescent="0.25">
      <c r="A13" s="11"/>
      <c r="B13" s="10"/>
      <c r="C13" s="10"/>
      <c r="D13" s="10"/>
      <c r="E13" s="10"/>
      <c r="F13" s="12"/>
      <c r="N13" s="2"/>
      <c r="O13" s="2"/>
      <c r="P13" s="2"/>
      <c r="Q13" s="2"/>
      <c r="R13" s="7"/>
    </row>
    <row r="14" spans="1:18" x14ac:dyDescent="0.25">
      <c r="A14" s="11"/>
      <c r="B14" s="10"/>
      <c r="C14" s="10"/>
      <c r="D14" s="10"/>
      <c r="E14" s="10"/>
      <c r="F14" s="12"/>
      <c r="N14" s="2"/>
      <c r="O14" s="2"/>
      <c r="P14" s="2"/>
      <c r="Q14" s="2"/>
      <c r="R14" s="7"/>
    </row>
    <row r="15" spans="1:18" ht="20.25" x14ac:dyDescent="0.3">
      <c r="A15" s="11"/>
      <c r="B15" s="10"/>
      <c r="C15" s="10"/>
      <c r="D15" s="10"/>
      <c r="E15" s="10"/>
      <c r="F15" s="12"/>
      <c r="K15" s="6" t="s">
        <v>4</v>
      </c>
      <c r="L15" s="6" t="s">
        <v>99</v>
      </c>
      <c r="M15" s="6" t="s">
        <v>89</v>
      </c>
      <c r="N15" s="2"/>
      <c r="O15" s="2"/>
      <c r="P15" s="2"/>
      <c r="Q15" s="2"/>
      <c r="R15" s="7"/>
    </row>
    <row r="16" spans="1:18" x14ac:dyDescent="0.25">
      <c r="A16" s="11"/>
      <c r="B16" s="12"/>
      <c r="C16" s="12"/>
      <c r="D16" s="12"/>
      <c r="E16" s="12"/>
      <c r="F16" s="12"/>
      <c r="K16" t="s">
        <v>27</v>
      </c>
      <c r="L16" t="s">
        <v>50</v>
      </c>
      <c r="M16" s="19">
        <v>161905</v>
      </c>
      <c r="N16" s="2"/>
      <c r="O16" s="2"/>
      <c r="P16" s="2"/>
      <c r="Q16" s="2"/>
      <c r="R16" s="7"/>
    </row>
    <row r="17" spans="4:18" x14ac:dyDescent="0.25">
      <c r="K17" t="s">
        <v>5</v>
      </c>
      <c r="L17" t="s">
        <v>45</v>
      </c>
      <c r="M17" s="19">
        <v>302709</v>
      </c>
      <c r="N17" s="2"/>
      <c r="O17" s="2"/>
      <c r="P17" s="2"/>
      <c r="Q17" s="2"/>
      <c r="R17" s="7"/>
    </row>
    <row r="18" spans="4:18" x14ac:dyDescent="0.25">
      <c r="K18" t="s">
        <v>35</v>
      </c>
      <c r="L18" t="s">
        <v>49</v>
      </c>
      <c r="M18" s="19">
        <v>318304</v>
      </c>
      <c r="N18" s="2"/>
      <c r="O18" s="2"/>
      <c r="P18" s="2"/>
      <c r="Q18" s="2"/>
      <c r="R18" s="7"/>
    </row>
    <row r="19" spans="4:18" x14ac:dyDescent="0.25">
      <c r="K19" t="s">
        <v>23</v>
      </c>
      <c r="L19" t="s">
        <v>49</v>
      </c>
      <c r="M19" s="19">
        <v>359924</v>
      </c>
    </row>
    <row r="20" spans="4:18" x14ac:dyDescent="0.25">
      <c r="K20" t="s">
        <v>11</v>
      </c>
      <c r="L20" t="s">
        <v>48</v>
      </c>
      <c r="M20" s="19">
        <v>370702</v>
      </c>
    </row>
    <row r="21" spans="4:18" x14ac:dyDescent="0.25">
      <c r="D21" s="21"/>
      <c r="E21" s="21"/>
      <c r="K21" t="s">
        <v>33</v>
      </c>
      <c r="L21" t="s">
        <v>50</v>
      </c>
      <c r="M21" s="19">
        <v>407506</v>
      </c>
    </row>
    <row r="22" spans="4:18" x14ac:dyDescent="0.25">
      <c r="D22" s="22"/>
      <c r="E22" s="23"/>
      <c r="K22" t="s">
        <v>6</v>
      </c>
      <c r="L22" t="s">
        <v>47</v>
      </c>
      <c r="M22" s="19">
        <v>434789</v>
      </c>
    </row>
    <row r="23" spans="4:18" x14ac:dyDescent="0.25">
      <c r="D23" s="22"/>
      <c r="E23" s="23"/>
      <c r="K23" t="s">
        <v>24</v>
      </c>
      <c r="L23" t="s">
        <v>47</v>
      </c>
      <c r="M23" s="19">
        <v>446310</v>
      </c>
    </row>
    <row r="24" spans="4:18" x14ac:dyDescent="0.25">
      <c r="D24" s="22"/>
      <c r="E24" s="23"/>
      <c r="K24" t="s">
        <v>42</v>
      </c>
      <c r="L24" t="s">
        <v>49</v>
      </c>
      <c r="M24" s="19">
        <v>450969</v>
      </c>
    </row>
    <row r="25" spans="4:18" x14ac:dyDescent="0.25">
      <c r="D25" s="22"/>
      <c r="E25" s="23"/>
      <c r="I25" s="24"/>
      <c r="K25" t="s">
        <v>20</v>
      </c>
      <c r="L25" t="s">
        <v>47</v>
      </c>
      <c r="M25" s="19">
        <v>451330</v>
      </c>
    </row>
    <row r="26" spans="4:18" x14ac:dyDescent="0.25">
      <c r="D26" s="22"/>
      <c r="E26" s="23"/>
      <c r="L26" s="11"/>
      <c r="M26" s="12"/>
    </row>
    <row r="27" spans="4:18" x14ac:dyDescent="0.25">
      <c r="D27" s="22"/>
      <c r="E27" s="23"/>
      <c r="L27" s="11"/>
      <c r="M27" s="12"/>
    </row>
    <row r="28" spans="4:18" x14ac:dyDescent="0.25">
      <c r="D28" s="22"/>
      <c r="E28" s="23"/>
      <c r="L28" s="11"/>
      <c r="M28" s="12"/>
    </row>
    <row r="29" spans="4:18" x14ac:dyDescent="0.25">
      <c r="D29" s="22"/>
      <c r="E29" s="23"/>
      <c r="L29" s="11"/>
      <c r="M29" s="12"/>
    </row>
    <row r="30" spans="4:18" x14ac:dyDescent="0.25">
      <c r="D30" s="22"/>
      <c r="E30" s="23"/>
      <c r="L30" s="11"/>
      <c r="M30" s="12"/>
    </row>
    <row r="31" spans="4:18" x14ac:dyDescent="0.25">
      <c r="D31" s="22"/>
      <c r="E31" s="23"/>
      <c r="L31" s="11"/>
      <c r="M31" s="12"/>
    </row>
    <row r="32" spans="4:18" x14ac:dyDescent="0.25">
      <c r="D32" s="22"/>
      <c r="E32" s="23"/>
      <c r="L32" s="11"/>
      <c r="M32" s="12"/>
    </row>
    <row r="33" spans="4:13" x14ac:dyDescent="0.25">
      <c r="D33" s="22"/>
      <c r="E33" s="23"/>
      <c r="L33" s="11"/>
      <c r="M33" s="12"/>
    </row>
    <row r="34" spans="4:13" x14ac:dyDescent="0.25">
      <c r="L34" s="11"/>
      <c r="M34" s="12"/>
    </row>
    <row r="35" spans="4:13" x14ac:dyDescent="0.25">
      <c r="L35" s="11"/>
      <c r="M35" s="12"/>
    </row>
  </sheetData>
  <sortState ref="D22:E33">
    <sortCondition descending="1" ref="E2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Charts</vt:lpstr>
      <vt:lpstr>Presidential Election Table</vt:lpstr>
      <vt:lpstr>Geo Political Zones</vt:lpstr>
      <vt:lpstr>Top 10 States</vt:lpstr>
      <vt:lpstr>Lowest States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Oromidayo</dc:creator>
  <cp:lastModifiedBy>Oromidayo</cp:lastModifiedBy>
  <dcterms:created xsi:type="dcterms:W3CDTF">2024-07-17T10:24:48Z</dcterms:created>
  <dcterms:modified xsi:type="dcterms:W3CDTF">2024-08-06T21:08:36Z</dcterms:modified>
</cp:coreProperties>
</file>